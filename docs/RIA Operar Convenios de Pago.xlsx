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defaultThemeVersion="124226"/>
  <mc:AlternateContent xmlns:mc="http://schemas.openxmlformats.org/markup-compatibility/2006">
    <mc:Choice Requires="x15">
      <x15ac:absPath xmlns:x15ac="http://schemas.microsoft.com/office/spreadsheetml/2010/11/ac" url="D:\Documents\D\GRUPO_MITIGA\Ejemplo práctico BCPM\"/>
    </mc:Choice>
  </mc:AlternateContent>
  <xr:revisionPtr revIDLastSave="0" documentId="13_ncr:1_{009F3923-31AF-43FD-A6C1-3FC895DD7AFD}" xr6:coauthVersionLast="47" xr6:coauthVersionMax="47" xr10:uidLastSave="{00000000-0000-0000-0000-000000000000}"/>
  <bookViews>
    <workbookView xWindow="0" yWindow="360" windowWidth="29040" windowHeight="15720" tabRatio="520" xr2:uid="{00000000-000D-0000-FFFF-FFFF00000000}"/>
  </bookViews>
  <sheets>
    <sheet name="1. V°B°" sheetId="16" r:id="rId1"/>
    <sheet name="1 Ficha Discriminación" sheetId="12" state="hidden" r:id="rId2"/>
    <sheet name="2 Matriz Continuidad" sheetId="19" r:id="rId3"/>
    <sheet name="3. Pruebas" sheetId="23" r:id="rId4"/>
    <sheet name="4. Probabilidad" sheetId="21" r:id="rId5"/>
    <sheet name="5. Evaluación del Control" sheetId="25" r:id="rId6"/>
    <sheet name="6. Evaluac. Respuesta al Riesgo" sheetId="24" r:id="rId7"/>
  </sheets>
  <externalReferences>
    <externalReference r:id="rId8"/>
    <externalReference r:id="rId9"/>
    <externalReference r:id="rId10"/>
  </externalReferences>
  <definedNames>
    <definedName name="_xlnm._FilterDatabase" localSheetId="2" hidden="1">'2 Matriz Continuidad'!$B$3:$X$30</definedName>
    <definedName name="_xlnm._FilterDatabase" localSheetId="3" hidden="1">'3. Pruebas'!$B$2:$G$2</definedName>
    <definedName name="a">#REF!</definedName>
    <definedName name="_xlnm.Print_Area" localSheetId="0">'1. V°B°'!$B$2:$E$9</definedName>
    <definedName name="_xlnm.Print_Area" localSheetId="2">'2 Matriz Continuidad'!$B$2:$V$39</definedName>
    <definedName name="_xlnm.Print_Area" localSheetId="5">'5. Evaluación del Control'!$A$1:$F$6</definedName>
    <definedName name="AS2DocOpenMode" hidden="1">"AS2DocumentEdit"</definedName>
    <definedName name="b">#REF!</definedName>
    <definedName name="Causa_Riesgo" localSheetId="2">#REF!</definedName>
    <definedName name="Causa_Riesgo" localSheetId="5">#REF!</definedName>
    <definedName name="Causa_Riesgo">#REF!</definedName>
    <definedName name="Efectividad" localSheetId="2">#REF!</definedName>
    <definedName name="Efectividad" localSheetId="5">#REF!</definedName>
    <definedName name="Efectividad">#REF!</definedName>
    <definedName name="Factor_de_Riesgo" localSheetId="5">#REF!</definedName>
    <definedName name="Factor_de_Riesgo">#REF!</definedName>
    <definedName name="i" localSheetId="2">[1]Escalas!#REF!</definedName>
    <definedName name="i" localSheetId="5">[2]Escalas!#REF!</definedName>
    <definedName name="i" localSheetId="6">[2]Escalas!#REF!</definedName>
    <definedName name="i">[1]Escalas!#REF!</definedName>
    <definedName name="Impacto" localSheetId="2">#REF!</definedName>
    <definedName name="Impacto" localSheetId="5">#REF!</definedName>
    <definedName name="Impacto">#REF!</definedName>
    <definedName name="po" localSheetId="2">[1]Escalas!#REF!</definedName>
    <definedName name="po" localSheetId="5">[2]Escalas!#REF!</definedName>
    <definedName name="po" localSheetId="6">[2]Escalas!#REF!</definedName>
    <definedName name="po">[1]Escalas!#REF!</definedName>
    <definedName name="Probabilidad" localSheetId="2">#REF!</definedName>
    <definedName name="Probabilidad" localSheetId="5">#REF!</definedName>
    <definedName name="Probabilidad">#REF!</definedName>
    <definedName name="Riesgo_de_Pérdida" localSheetId="5">#REF!</definedName>
    <definedName name="Riesgo_de_Pérdida">#REF!</definedName>
    <definedName name="Sub_Proceso">'[3]c box ev fact'!$G$2:$G$9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4" i="19" l="1"/>
  <c r="N5" i="19"/>
  <c r="M5" i="19"/>
  <c r="L5" i="19"/>
  <c r="N17" i="19"/>
  <c r="M17" i="19"/>
  <c r="L17" i="19"/>
  <c r="O5" i="19" l="1"/>
  <c r="T5" i="19" s="1"/>
  <c r="U5" i="19" s="1"/>
  <c r="V5" i="19" s="1"/>
  <c r="O17" i="19"/>
  <c r="P17" i="19" s="1"/>
  <c r="N7" i="19"/>
  <c r="M7" i="19"/>
  <c r="L7" i="19"/>
  <c r="N30" i="19"/>
  <c r="M30" i="19"/>
  <c r="L30" i="19"/>
  <c r="N29" i="19"/>
  <c r="M29" i="19"/>
  <c r="L29" i="19"/>
  <c r="N26" i="19"/>
  <c r="M26" i="19"/>
  <c r="L26" i="19"/>
  <c r="N25" i="19"/>
  <c r="M25" i="19"/>
  <c r="L25" i="19"/>
  <c r="N24" i="19"/>
  <c r="M24" i="19"/>
  <c r="L24" i="19"/>
  <c r="N22" i="19"/>
  <c r="M22" i="19"/>
  <c r="L22" i="19"/>
  <c r="N21" i="19"/>
  <c r="M21" i="19"/>
  <c r="L21" i="19"/>
  <c r="N20" i="19"/>
  <c r="M20" i="19"/>
  <c r="L20" i="19"/>
  <c r="N19" i="19"/>
  <c r="M19" i="19"/>
  <c r="L19" i="19"/>
  <c r="N18" i="19"/>
  <c r="M18" i="19"/>
  <c r="L18" i="19"/>
  <c r="P5" i="19" l="1"/>
  <c r="R5" i="19" s="1"/>
  <c r="Q5" i="19"/>
  <c r="O7" i="19"/>
  <c r="T7" i="19" s="1"/>
  <c r="U7" i="19" s="1"/>
  <c r="V7" i="19" s="1"/>
  <c r="Q17" i="19"/>
  <c r="R17" i="19"/>
  <c r="U17" i="19"/>
  <c r="V17" i="19" s="1"/>
  <c r="O29" i="19"/>
  <c r="P29" i="19" s="1"/>
  <c r="O30" i="19"/>
  <c r="P30" i="19" s="1"/>
  <c r="O22" i="19"/>
  <c r="O24" i="19"/>
  <c r="O26" i="19"/>
  <c r="O25" i="19"/>
  <c r="T25" i="19" s="1"/>
  <c r="U25" i="19" s="1"/>
  <c r="V25" i="19" s="1"/>
  <c r="O18" i="19"/>
  <c r="T18" i="19" s="1"/>
  <c r="U18" i="19" s="1"/>
  <c r="V18" i="19" s="1"/>
  <c r="O21" i="19"/>
  <c r="O20" i="19"/>
  <c r="O19" i="19"/>
  <c r="P19" i="19" s="1"/>
  <c r="Q30" i="19" l="1"/>
  <c r="P7" i="19"/>
  <c r="R7" i="19" s="1"/>
  <c r="Q7" i="19"/>
  <c r="Q29" i="19"/>
  <c r="R30" i="19"/>
  <c r="U30" i="19"/>
  <c r="V30" i="19" s="1"/>
  <c r="R29" i="19"/>
  <c r="U29" i="19"/>
  <c r="V29" i="19" s="1"/>
  <c r="P22" i="19"/>
  <c r="Q22" i="19"/>
  <c r="Q24" i="19"/>
  <c r="P24" i="19"/>
  <c r="P26" i="19"/>
  <c r="Q26" i="19"/>
  <c r="P18" i="19"/>
  <c r="R18" i="19" s="1"/>
  <c r="Q18" i="19"/>
  <c r="P25" i="19"/>
  <c r="R25" i="19" s="1"/>
  <c r="Q25" i="19"/>
  <c r="Q21" i="19"/>
  <c r="P21" i="19"/>
  <c r="P20" i="19"/>
  <c r="Q20" i="19"/>
  <c r="Q19" i="19"/>
  <c r="U19" i="19"/>
  <c r="V19" i="19" s="1"/>
  <c r="R19" i="19"/>
  <c r="R20" i="19" l="1"/>
  <c r="U20" i="19"/>
  <c r="V20" i="19" s="1"/>
  <c r="R26" i="19"/>
  <c r="U26" i="19"/>
  <c r="V26" i="19" s="1"/>
  <c r="R21" i="19"/>
  <c r="U21" i="19"/>
  <c r="V21" i="19" s="1"/>
  <c r="R22" i="19"/>
  <c r="U22" i="19"/>
  <c r="V22" i="19" s="1"/>
  <c r="R24" i="19"/>
  <c r="U24" i="19"/>
  <c r="V24" i="19" s="1"/>
  <c r="N16" i="19"/>
  <c r="M16" i="19"/>
  <c r="L16" i="19"/>
  <c r="N15" i="19"/>
  <c r="M15" i="19"/>
  <c r="L15" i="19"/>
  <c r="N13" i="19"/>
  <c r="M13" i="19"/>
  <c r="L13" i="19"/>
  <c r="O15" i="19" l="1"/>
  <c r="Q15" i="19" s="1"/>
  <c r="O16" i="19"/>
  <c r="P16" i="19" s="1"/>
  <c r="O13" i="19"/>
  <c r="P13" i="19" s="1"/>
  <c r="R13" i="19" s="1"/>
  <c r="Q13" i="19" l="1"/>
  <c r="T13" i="19"/>
  <c r="U13" i="19" s="1"/>
  <c r="V13" i="19" s="1"/>
  <c r="P15" i="19"/>
  <c r="R15" i="19" s="1"/>
  <c r="Q16" i="19"/>
  <c r="U16" i="19"/>
  <c r="V16" i="19" s="1"/>
  <c r="R16" i="19"/>
  <c r="U15" i="19" l="1"/>
  <c r="V15" i="19" s="1"/>
  <c r="N10" i="19" l="1"/>
  <c r="M10" i="19"/>
  <c r="L10" i="19"/>
  <c r="N14" i="19"/>
  <c r="M14" i="19"/>
  <c r="L14" i="19"/>
  <c r="O10" i="19" l="1"/>
  <c r="T10" i="19" s="1"/>
  <c r="U10" i="19" s="1"/>
  <c r="V10" i="19" s="1"/>
  <c r="O14" i="19"/>
  <c r="P14" i="19" s="1"/>
  <c r="R14" i="19" s="1"/>
  <c r="T14" i="19" l="1"/>
  <c r="U14" i="19" s="1"/>
  <c r="V14" i="19" s="1"/>
  <c r="Q14" i="19"/>
  <c r="Q10" i="19"/>
  <c r="P10" i="19"/>
  <c r="R10" i="19" s="1"/>
  <c r="N4" i="19" l="1"/>
  <c r="M4" i="19"/>
  <c r="L4" i="19"/>
  <c r="O4" i="19" l="1"/>
  <c r="P4" i="19" s="1"/>
  <c r="R4" i="19" s="1"/>
  <c r="U4" i="19" l="1"/>
  <c r="V4" i="19" s="1"/>
  <c r="Q4" i="19"/>
  <c r="N12" i="19"/>
  <c r="M12" i="19"/>
  <c r="L12" i="19"/>
  <c r="O12" i="19" l="1"/>
  <c r="P12" i="19" s="1"/>
  <c r="N11" i="19"/>
  <c r="M11" i="19"/>
  <c r="L11" i="19"/>
  <c r="L27" i="19"/>
  <c r="M27" i="19"/>
  <c r="N27" i="19"/>
  <c r="L23" i="19"/>
  <c r="M23" i="19"/>
  <c r="N23" i="19"/>
  <c r="L8" i="19"/>
  <c r="M8" i="19"/>
  <c r="N8" i="19"/>
  <c r="N28" i="19"/>
  <c r="M28" i="19"/>
  <c r="L28" i="19"/>
  <c r="U12" i="19" l="1"/>
  <c r="V12" i="19" s="1"/>
  <c r="R12" i="19"/>
  <c r="Q12" i="19"/>
  <c r="O23" i="19"/>
  <c r="O11" i="19"/>
  <c r="T11" i="19" s="1"/>
  <c r="U11" i="19" s="1"/>
  <c r="V11" i="19" s="1"/>
  <c r="O28" i="19"/>
  <c r="O8" i="19"/>
  <c r="O27" i="19"/>
  <c r="P23" i="19" l="1"/>
  <c r="R23" i="19" s="1"/>
  <c r="T23" i="19"/>
  <c r="U23" i="19" s="1"/>
  <c r="V23" i="19" s="1"/>
  <c r="P11" i="19"/>
  <c r="R11" i="19" s="1"/>
  <c r="Q11" i="19"/>
  <c r="Q23" i="19"/>
  <c r="P27" i="19"/>
  <c r="Q27" i="19"/>
  <c r="T8" i="19"/>
  <c r="U8" i="19" s="1"/>
  <c r="V8" i="19" s="1"/>
  <c r="P8" i="19"/>
  <c r="R8" i="19" s="1"/>
  <c r="Q8" i="19"/>
  <c r="Q28" i="19"/>
  <c r="P28" i="19"/>
  <c r="R28" i="19" l="1"/>
  <c r="U28" i="19"/>
  <c r="V28" i="19" s="1"/>
  <c r="U27" i="19"/>
  <c r="V27" i="19" s="1"/>
  <c r="R27" i="1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Test</author>
    <author>Familia</author>
  </authors>
  <commentList>
    <comment ref="S11" authorId="0" shapeId="0" xr:uid="{00000000-0006-0000-0200-000001000000}">
      <text>
        <r>
          <rPr>
            <b/>
            <sz val="9"/>
            <color indexed="81"/>
            <rFont val="Tahoma"/>
            <family val="2"/>
          </rPr>
          <t>Test:</t>
        </r>
        <r>
          <rPr>
            <sz val="9"/>
            <color indexed="81"/>
            <rFont val="Tahoma"/>
            <family val="2"/>
          </rPr>
          <t xml:space="preserve">
Beta a pesar de ser 100% se castiga a 30% para aumentar riesgo residual y que arroje como plan de acción actualizar plan, ya que hoy no aborda el aplicativo Starweb</t>
        </r>
      </text>
    </comment>
    <comment ref="C13" authorId="1" shapeId="0" xr:uid="{30BD01AE-679D-4522-9317-9B8354405F64}">
      <text>
        <r>
          <rPr>
            <b/>
            <sz val="9"/>
            <color indexed="81"/>
            <rFont val="Tahoma"/>
            <family val="2"/>
          </rPr>
          <t>10% está en MCO pero la idea es migrar el 100% a MCO y que CDS sea la contingencia.</t>
        </r>
      </text>
    </comment>
    <comment ref="C14" authorId="1" shapeId="0" xr:uid="{A896CB2B-912B-4293-8F76-F8DD82440F33}">
      <text>
        <r>
          <rPr>
            <b/>
            <sz val="9"/>
            <color indexed="81"/>
            <rFont val="Tahoma"/>
            <family val="2"/>
          </rPr>
          <t>el 90% está en CDS</t>
        </r>
      </text>
    </comment>
    <comment ref="C19" authorId="1" shapeId="0" xr:uid="{04D86013-3D10-4631-A282-26A38BB685B4}">
      <text>
        <r>
          <rPr>
            <sz val="9"/>
            <color indexed="81"/>
            <rFont val="Tahoma"/>
            <family val="2"/>
          </rPr>
          <t>Clientes de Servicio de Salud que envían cartas para pagar sueldos a todo el personal de salud de ese servicio. Si no se tiene como provisionar la nómina no se puede pagar. La provisión se realiza por medio de Finesse por control contable centralizado una vez que Convenio ha enviado el traspaso contable derivado de la carta.
En promedio llegan 15 a 17 cartas diarias con una afectación a clientes finales de 3.000 en promedio cada una.</t>
        </r>
      </text>
    </comment>
  </commentList>
</comments>
</file>

<file path=xl/sharedStrings.xml><?xml version="1.0" encoding="utf-8"?>
<sst xmlns="http://schemas.openxmlformats.org/spreadsheetml/2006/main" count="476" uniqueCount="253">
  <si>
    <t>Riesgos de Pérdida</t>
  </si>
  <si>
    <t>Factor de Riesgo</t>
  </si>
  <si>
    <t>Factor de Riesgo Específico</t>
  </si>
  <si>
    <t>Controles identificados</t>
  </si>
  <si>
    <t>Impacto</t>
  </si>
  <si>
    <t>Probabilidad</t>
  </si>
  <si>
    <t>N°</t>
  </si>
  <si>
    <t>Costos adicionales del proceso</t>
  </si>
  <si>
    <t>2 Poco Probable</t>
  </si>
  <si>
    <t>Riesgo
Inherente</t>
  </si>
  <si>
    <t>Riesgo
Residual</t>
  </si>
  <si>
    <t>RI</t>
  </si>
  <si>
    <t>RR</t>
  </si>
  <si>
    <t>Nombre</t>
  </si>
  <si>
    <t>Área</t>
  </si>
  <si>
    <t>Ocurrencia</t>
  </si>
  <si>
    <t>Realizada por</t>
  </si>
  <si>
    <t>Revisada por</t>
  </si>
  <si>
    <t>Tipo de Impacto</t>
  </si>
  <si>
    <t>Fecha</t>
  </si>
  <si>
    <r>
      <t>Condición</t>
    </r>
    <r>
      <rPr>
        <b/>
        <sz val="14"/>
        <color indexed="8"/>
        <rFont val="Arial"/>
        <family val="2"/>
      </rPr>
      <t xml:space="preserve"> </t>
    </r>
  </si>
  <si>
    <r>
      <t>Resultado del análisis</t>
    </r>
    <r>
      <rPr>
        <b/>
        <sz val="14"/>
        <color indexed="8"/>
        <rFont val="Arial"/>
        <family val="2"/>
      </rPr>
      <t xml:space="preserve"> </t>
    </r>
  </si>
  <si>
    <r>
      <t>Antecedentes</t>
    </r>
    <r>
      <rPr>
        <b/>
        <sz val="14"/>
        <color indexed="8"/>
        <rFont val="Arial"/>
        <family val="2"/>
      </rPr>
      <t xml:space="preserve"> </t>
    </r>
  </si>
  <si>
    <r>
      <t>Nivel de Exposición Monetaria:</t>
    </r>
    <r>
      <rPr>
        <b/>
        <sz val="14"/>
        <color indexed="8"/>
        <rFont val="Arial"/>
        <family val="2"/>
      </rPr>
      <t xml:space="preserve"> </t>
    </r>
  </si>
  <si>
    <r>
      <t>Pérdidas Operacionales:</t>
    </r>
    <r>
      <rPr>
        <b/>
        <sz val="14"/>
        <color indexed="8"/>
        <rFont val="Arial"/>
        <family val="2"/>
      </rPr>
      <t xml:space="preserve"> </t>
    </r>
  </si>
  <si>
    <r>
      <t>Carta SBIF - Auditoría Externa:</t>
    </r>
    <r>
      <rPr>
        <b/>
        <sz val="14"/>
        <color indexed="8"/>
        <rFont val="Arial"/>
        <family val="2"/>
      </rPr>
      <t xml:space="preserve"> </t>
    </r>
  </si>
  <si>
    <r>
      <t>Observaciones de Contraloría:</t>
    </r>
    <r>
      <rPr>
        <b/>
        <sz val="14"/>
        <color indexed="8"/>
        <rFont val="Arial"/>
        <family val="2"/>
      </rPr>
      <t xml:space="preserve"> </t>
    </r>
  </si>
  <si>
    <r>
      <t>Riesgo de Incumplimiento Normativo:</t>
    </r>
    <r>
      <rPr>
        <b/>
        <sz val="14"/>
        <color indexed="8"/>
        <rFont val="Arial"/>
        <family val="2"/>
      </rPr>
      <t xml:space="preserve"> </t>
    </r>
  </si>
  <si>
    <r>
      <t>Incidentes Operacionales:</t>
    </r>
    <r>
      <rPr>
        <b/>
        <sz val="14"/>
        <color indexed="8"/>
        <rFont val="Arial"/>
        <family val="2"/>
      </rPr>
      <t xml:space="preserve"> </t>
    </r>
  </si>
  <si>
    <r>
      <t>No</t>
    </r>
    <r>
      <rPr>
        <b/>
        <sz val="14"/>
        <color indexed="8"/>
        <rFont val="Arial"/>
        <family val="2"/>
      </rPr>
      <t xml:space="preserve"> </t>
    </r>
  </si>
  <si>
    <t>Fecha de actualización</t>
  </si>
  <si>
    <t xml:space="preserve">Cargo </t>
  </si>
  <si>
    <t>Ficha de Discriminación de Instalación Estándar de ROP – Proceso: XXXX
Responsable del Proceso: XXXX</t>
  </si>
  <si>
    <t>Nivel de Exposición Reputacional</t>
  </si>
  <si>
    <t>Masividad</t>
  </si>
  <si>
    <t>Etapas o Actividades</t>
  </si>
  <si>
    <t>Validación de "Ficha Integral Riesgo Operacional"</t>
  </si>
  <si>
    <t>Nombre del Proceso:</t>
  </si>
  <si>
    <t>Rol</t>
  </si>
  <si>
    <t>Firma</t>
  </si>
  <si>
    <t>Lineamientos Estratégicos</t>
  </si>
  <si>
    <t>El Proceso tiene una Matriz de Riesgo Operacional</t>
  </si>
  <si>
    <t>Ficha de discriminación si se hizo y no requiere matriz o si a raíz de una ficha se creo una matriz</t>
  </si>
  <si>
    <t>Glosa en caso de existir una Matriz de Riesgo (en este caso la tabla de abajo NO se coloca)</t>
  </si>
  <si>
    <r>
      <rPr>
        <b/>
        <u/>
        <sz val="14"/>
        <color indexed="18"/>
        <rFont val="Arial"/>
        <family val="2"/>
      </rPr>
      <t>Conclusión</t>
    </r>
    <r>
      <rPr>
        <b/>
        <sz val="14"/>
        <color indexed="18"/>
        <rFont val="Arial"/>
        <family val="2"/>
      </rPr>
      <t>: De acuerdo a los antecedentes descritos anteriormente,  por ser un proceso que (si/no) expone al banco a riesgos operacionales de alto impacto, (si/no) se requiere realizar un levantamiento por medio de una matriz de riesgo operacional.</t>
    </r>
  </si>
  <si>
    <t>No existen antecedentes acerca de la materialización del riesgo en el pasado y no se espera que ocurra en el futuro.</t>
  </si>
  <si>
    <t>El evento sólo ocurrirá en circunstancias excepcionales, o como resultado de una combinación de eventos inusuales.</t>
  </si>
  <si>
    <t>Dada la naturaleza del riesgo es razonable esperar su materialización en el corto plazo (un año).</t>
  </si>
  <si>
    <t>Subgerencia de Riesgo Operacional</t>
  </si>
  <si>
    <t>Clientes</t>
  </si>
  <si>
    <t>1 Deficiente</t>
  </si>
  <si>
    <t>MAYOR IMPACTO HASTA LAS 24 HORAS</t>
  </si>
  <si>
    <t>1 Muy poco probable</t>
  </si>
  <si>
    <t xml:space="preserve">Amenaza es muy poco probable que se produzca u ocurra 1 vez cada 10 años aprox. </t>
  </si>
  <si>
    <t xml:space="preserve">Amenaza es poco probable que se produzca u ocurra rara vez, a lo más 1 vez cada 3 años aprox. </t>
  </si>
  <si>
    <t>3. Ocasional</t>
  </si>
  <si>
    <t xml:space="preserve">Amenaza es algo probable que se produzca u ocurra ocasionalmente (una vez en el año). </t>
  </si>
  <si>
    <t>Menos del 2% de los casos (transacciones , operaciones).</t>
  </si>
  <si>
    <t>4. Frecuente</t>
  </si>
  <si>
    <t>Se espera que el riesgo se materialice en reiteradas ocasiones en el corto plazo (un año)</t>
  </si>
  <si>
    <t>Amenaza es muy probable que se produzca u ocurra trimestralmente</t>
  </si>
  <si>
    <t>Entre el 2% y el 10% de los casos (transacciones, operaciones).</t>
  </si>
  <si>
    <t>5. Muy frecuente</t>
  </si>
  <si>
    <t>Se espera que el riesgo se materialice en la mayoría de las situaciones en que se encuentra presente.</t>
  </si>
  <si>
    <t>Amenaza es casi seguro que se produzca u ocurra por lo menos una vez al mes.</t>
  </si>
  <si>
    <t>Sobre el 10% de los casos (transacciones, operaciones).</t>
  </si>
  <si>
    <t>Respuesta al Riesgo de Continuidad</t>
  </si>
  <si>
    <t>Evaluación del Control</t>
  </si>
  <si>
    <t>Evaluación del control</t>
  </si>
  <si>
    <t>5 Alto</t>
  </si>
  <si>
    <t>Oportunidad del Control</t>
  </si>
  <si>
    <t>Alcance del Control</t>
  </si>
  <si>
    <t>Automatización</t>
  </si>
  <si>
    <t xml:space="preserve">Formalización / Evidencia </t>
  </si>
  <si>
    <t>Para Continuidad de Negocios</t>
  </si>
  <si>
    <t xml:space="preserve">1. Deficiente </t>
  </si>
  <si>
    <t>Cobertura parcial</t>
  </si>
  <si>
    <t>Manual sin segregación de funciones</t>
  </si>
  <si>
    <t>No está formalizado y no tiene registros de su ejecución</t>
  </si>
  <si>
    <t>2. Regular</t>
  </si>
  <si>
    <t>Detectivo</t>
  </si>
  <si>
    <t>Manual con segregación de funciones</t>
  </si>
  <si>
    <t>No está formalizado, pero tiene registro de su ejecución</t>
  </si>
  <si>
    <t>3. Suficiente</t>
  </si>
  <si>
    <t>Abarca todas  las operaciones</t>
  </si>
  <si>
    <t>Control manual o semiautomático con contraposición  de funciones</t>
  </si>
  <si>
    <t xml:space="preserve">Está formalizado y  tiene registro de su ejecución </t>
  </si>
  <si>
    <t>4. Bueno</t>
  </si>
  <si>
    <t>Preventivo</t>
  </si>
  <si>
    <t>Semiautomático con contraposición  de funciones</t>
  </si>
  <si>
    <t xml:space="preserve">Está formalizado y difundido, tiene registro de su ejecución </t>
  </si>
  <si>
    <t>5. Óptimo</t>
  </si>
  <si>
    <t>Control automático  con monitoreo</t>
  </si>
  <si>
    <t>Está formalizado y difundido, tiene registro de su ejecución y se hace monitoreo sobre su desempeño</t>
  </si>
  <si>
    <t>No existe, o
No se ejecuta, o 
Correctivo</t>
  </si>
  <si>
    <t>2 Regular</t>
  </si>
  <si>
    <t>Operar Convenios de Pago</t>
  </si>
  <si>
    <t>Nombre Archivo Plan de Continuidad</t>
  </si>
  <si>
    <t>Fecha Real de Plan</t>
  </si>
  <si>
    <t>Tipo de Prueba por Madurez</t>
  </si>
  <si>
    <t>Resultado de la Prueba</t>
  </si>
  <si>
    <t>Real</t>
  </si>
  <si>
    <t>Satisfactorio</t>
  </si>
  <si>
    <t>Claudio Saavedra Araya</t>
  </si>
  <si>
    <t>Héctor Orellana Vidal</t>
  </si>
  <si>
    <t>o</t>
  </si>
  <si>
    <t>BIA</t>
  </si>
  <si>
    <t>Responsable del Proceso:  CLAUDIO SAAVEDRA ARAYA</t>
  </si>
  <si>
    <t>5 Optimo</t>
  </si>
  <si>
    <t>No se requiere actualizar o construir un plan de continuidad.</t>
  </si>
  <si>
    <t>Indisponibilidad De Sistemas – Proveedor Convenios De Pago</t>
  </si>
  <si>
    <t>Ausencia Parcial De Personal Subgerencia De Procesos De Convenios Y Pagos</t>
  </si>
  <si>
    <t>Código BCP</t>
  </si>
  <si>
    <t>BCP0865</t>
  </si>
  <si>
    <t>BCP0866</t>
  </si>
  <si>
    <t>BCP0910</t>
  </si>
  <si>
    <t>Beta</t>
  </si>
  <si>
    <t>Riesgo Residual con Beta</t>
  </si>
  <si>
    <t>Christian Bonacic González</t>
  </si>
  <si>
    <t>Analista Seguridad Operacional</t>
  </si>
  <si>
    <r>
      <t xml:space="preserve">Para todas las áreas </t>
    </r>
    <r>
      <rPr>
        <b/>
        <sz val="10"/>
        <color rgb="FF000000"/>
        <rFont val="Calibri"/>
        <family val="2"/>
      </rPr>
      <t>menos Sucursales</t>
    </r>
    <r>
      <rPr>
        <sz val="10"/>
        <color rgb="FF000000"/>
        <rFont val="Calibri"/>
        <family val="2"/>
      </rPr>
      <t xml:space="preserve">.
• No existe plan de Continuidad o
• Existe Plan de continuidad, pero no está formalizado o
• Existe Plan de continuidad, pero no está actualizado
Para </t>
    </r>
    <r>
      <rPr>
        <b/>
        <sz val="10"/>
        <color rgb="FF000000"/>
        <rFont val="Calibri"/>
        <family val="2"/>
      </rPr>
      <t>sucursales solamente</t>
    </r>
    <r>
      <rPr>
        <sz val="10"/>
        <color rgb="FF000000"/>
        <rFont val="Calibri"/>
        <family val="2"/>
      </rPr>
      <t>:
• Se han realizado pruebas reales con resultado promedio de satisfacción  &lt; = 50%    de las sucursales a probar según plan estratégico para el año o Plan de continuidad no ha sido probado.</t>
    </r>
  </si>
  <si>
    <r>
      <t xml:space="preserve">Para todas las áreas </t>
    </r>
    <r>
      <rPr>
        <b/>
        <sz val="10"/>
        <color rgb="FF000000"/>
        <rFont val="Calibri"/>
        <family val="2"/>
      </rPr>
      <t>menos Sucursales</t>
    </r>
    <r>
      <rPr>
        <sz val="10"/>
        <color rgb="FF000000"/>
        <rFont val="Calibri"/>
        <family val="2"/>
      </rPr>
      <t xml:space="preserve">.
•Existe Plan de continuidad pero no se han realizado pruebas, de acuerdo a la periodicidad requerida o 
•Existe Plan de continuidad pero el resultado de la prueba es INSUFICENTE, de acuerdo al nivel de madurez definido o
•Existe sólo un Plan Comunicacional formalizado y probado.
Para </t>
    </r>
    <r>
      <rPr>
        <b/>
        <sz val="10"/>
        <color rgb="FF000000"/>
        <rFont val="Calibri"/>
        <family val="2"/>
      </rPr>
      <t>sucursales solamente:</t>
    </r>
    <r>
      <rPr>
        <sz val="10"/>
        <color rgb="FF000000"/>
        <rFont val="Calibri"/>
        <family val="2"/>
      </rPr>
      <t xml:space="preserve">
• Se han realizado pruebas reales con resultado promedio de satisfacción &gt; 50% y  &lt; = 60%    de las sucursales a probar según plan estratégico para el año.</t>
    </r>
  </si>
  <si>
    <r>
      <rPr>
        <sz val="10"/>
        <rFont val="Calibri"/>
        <family val="2"/>
        <scheme val="minor"/>
      </rPr>
      <t xml:space="preserve">Para todas las áreas </t>
    </r>
    <r>
      <rPr>
        <b/>
        <sz val="10"/>
        <rFont val="Calibri"/>
        <family val="2"/>
        <scheme val="minor"/>
      </rPr>
      <t>menos</t>
    </r>
    <r>
      <rPr>
        <sz val="10"/>
        <rFont val="Calibri"/>
        <family val="2"/>
        <scheme val="minor"/>
      </rPr>
      <t xml:space="preserve"> </t>
    </r>
    <r>
      <rPr>
        <b/>
        <sz val="10"/>
        <rFont val="Calibri"/>
        <family val="2"/>
        <scheme val="minor"/>
      </rPr>
      <t>Sucursales</t>
    </r>
    <r>
      <rPr>
        <sz val="10"/>
        <rFont val="Calibri"/>
        <family val="2"/>
        <scheme val="minor"/>
      </rPr>
      <t>.</t>
    </r>
    <r>
      <rPr>
        <sz val="10"/>
        <rFont val="Arial"/>
        <family val="2"/>
      </rPr>
      <t xml:space="preserve">
•</t>
    </r>
    <r>
      <rPr>
        <sz val="10"/>
        <color rgb="FF000000"/>
        <rFont val="Calibri"/>
        <family val="2"/>
      </rPr>
      <t xml:space="preserve">Existe Plan de Continuidad y se han realizado pruebas de escritorio con resultado SUFICIENTE.
Para </t>
    </r>
    <r>
      <rPr>
        <b/>
        <sz val="10"/>
        <color rgb="FF000000"/>
        <rFont val="Calibri"/>
        <family val="2"/>
      </rPr>
      <t>sucursales solamente</t>
    </r>
    <r>
      <rPr>
        <sz val="10"/>
        <color rgb="FF000000"/>
        <rFont val="Calibri"/>
        <family val="2"/>
      </rPr>
      <t>:
• Se han realizado pruebas reales con resultado promedio de satisfacción &gt; 60% y  &lt; = 70%    de las sucursales a probar según plan estratégico para el año.</t>
    </r>
  </si>
  <si>
    <r>
      <rPr>
        <sz val="10"/>
        <rFont val="Calibri"/>
        <family val="2"/>
        <scheme val="minor"/>
      </rPr>
      <t xml:space="preserve">Para todas las áreas </t>
    </r>
    <r>
      <rPr>
        <b/>
        <sz val="10"/>
        <rFont val="Calibri"/>
        <family val="2"/>
        <scheme val="minor"/>
      </rPr>
      <t>menos Sucursales</t>
    </r>
    <r>
      <rPr>
        <sz val="10"/>
        <rFont val="Calibri"/>
        <family val="2"/>
        <scheme val="minor"/>
      </rPr>
      <t>.</t>
    </r>
    <r>
      <rPr>
        <sz val="10"/>
        <rFont val="Arial"/>
        <family val="2"/>
      </rPr>
      <t xml:space="preserve">
•</t>
    </r>
    <r>
      <rPr>
        <sz val="10"/>
        <color rgb="FF000000"/>
        <rFont val="Calibri"/>
        <family val="2"/>
      </rPr>
      <t xml:space="preserve">Existe Plan de Continuidad y se han realizado pruebas de simulación con resultado SUFICIENTE.
Para </t>
    </r>
    <r>
      <rPr>
        <b/>
        <sz val="10"/>
        <color rgb="FF000000"/>
        <rFont val="Calibri"/>
        <family val="2"/>
      </rPr>
      <t>sucursales solamente</t>
    </r>
    <r>
      <rPr>
        <sz val="10"/>
        <color rgb="FF000000"/>
        <rFont val="Calibri"/>
        <family val="2"/>
      </rPr>
      <t>:
• Se han realizado pruebas reales con resultado promedio de satisfacción &gt; 70% y  &lt; 80% de las sucursales a probar según plan estratégico para el año.</t>
    </r>
  </si>
  <si>
    <r>
      <rPr>
        <sz val="10"/>
        <rFont val="Calibri"/>
        <family val="2"/>
        <scheme val="minor"/>
      </rPr>
      <t xml:space="preserve">Para todas las áreas </t>
    </r>
    <r>
      <rPr>
        <b/>
        <sz val="10"/>
        <rFont val="Calibri"/>
        <family val="2"/>
        <scheme val="minor"/>
      </rPr>
      <t>menos Sucursales</t>
    </r>
    <r>
      <rPr>
        <sz val="10"/>
        <rFont val="Calibri"/>
        <family val="2"/>
        <scheme val="minor"/>
      </rPr>
      <t>.</t>
    </r>
    <r>
      <rPr>
        <sz val="10"/>
        <rFont val="Arial"/>
        <family val="2"/>
      </rPr>
      <t xml:space="preserve">
•</t>
    </r>
    <r>
      <rPr>
        <sz val="10"/>
        <color rgb="FF000000"/>
        <rFont val="Calibri"/>
        <family val="2"/>
      </rPr>
      <t xml:space="preserve">Existe Plan de Continuidad y se han realizado pruebas reales con resultado SUFICIENTE.
Para </t>
    </r>
    <r>
      <rPr>
        <b/>
        <sz val="10"/>
        <color rgb="FF000000"/>
        <rFont val="Calibri"/>
        <family val="2"/>
      </rPr>
      <t>sucursales solamente:</t>
    </r>
    <r>
      <rPr>
        <sz val="10"/>
        <color rgb="FF000000"/>
        <rFont val="Calibri"/>
        <family val="2"/>
      </rPr>
      <t xml:space="preserve">
• Se han realizado pruebas reales con resultado promedio SUFICIENTE &gt; = 80% en todas las sucursales probadas</t>
    </r>
  </si>
  <si>
    <t>3 Ocasional</t>
  </si>
  <si>
    <t>Indisponibilidad de todas las aplicaciones</t>
  </si>
  <si>
    <t>Respuesta al Riesgo</t>
  </si>
  <si>
    <t>Riesgo residual final</t>
  </si>
  <si>
    <t>Si el Riesgo Residual final es Alto o Medio Alto</t>
  </si>
  <si>
    <t>Se debe crear o modificar un Plan de Continuidad, o bien, si el plan de continuidad existe y no se ha probado se debe concretar una prueba.</t>
  </si>
  <si>
    <t>Si el Riesgo Residual final es Medio o Medio Bajo o bajo</t>
  </si>
  <si>
    <t>Riesgo
Residual Final</t>
  </si>
  <si>
    <t>Responsable de Proceso</t>
  </si>
  <si>
    <t>Jefe de Continuidad de Negocios</t>
  </si>
  <si>
    <t>Jefe de Departamento de Riesgo Operacional</t>
  </si>
  <si>
    <r>
      <t xml:space="preserve">Indisponibilidad del servicio prestado por el proveedor: </t>
    </r>
    <r>
      <rPr>
        <b/>
        <sz val="10"/>
        <rFont val="Calibri"/>
        <family val="2"/>
        <scheme val="minor"/>
      </rPr>
      <t>ServiBanca S.A. - Contrato Número 5436-1 - Recaudación Y Pagos (Pag)</t>
    </r>
  </si>
  <si>
    <r>
      <t xml:space="preserve">Indisponibilidad del servicio prestado por el proveedor: </t>
    </r>
    <r>
      <rPr>
        <b/>
        <sz val="10"/>
        <rFont val="Calibri"/>
        <family val="2"/>
        <scheme val="minor"/>
      </rPr>
      <t>Empresas Jordan SA. - Contrato Número 8218 - Servicio De Impresión De Documentos Asociados A Instituciones</t>
    </r>
  </si>
  <si>
    <r>
      <t xml:space="preserve">Escenario Personal: </t>
    </r>
    <r>
      <rPr>
        <b/>
        <sz val="10"/>
        <rFont val="Calibri"/>
        <family val="2"/>
        <scheme val="minor"/>
      </rPr>
      <t>Indisponibilidad  masiva de personal</t>
    </r>
  </si>
  <si>
    <r>
      <t xml:space="preserve">Escenario Infraestructura: </t>
    </r>
    <r>
      <rPr>
        <b/>
        <sz val="10"/>
        <rFont val="Calibri"/>
        <family val="2"/>
        <scheme val="minor"/>
      </rPr>
      <t>Indisponibilidad o destrucción de una Sucursal o Conjunto de Sucursales</t>
    </r>
  </si>
  <si>
    <r>
      <t>Escenario Proveedores:</t>
    </r>
    <r>
      <rPr>
        <b/>
        <sz val="10"/>
        <rFont val="Calibri"/>
        <family val="2"/>
        <scheme val="minor"/>
      </rPr>
      <t xml:space="preserve"> Indisponibilidad de servicios prestados por proveedores</t>
    </r>
  </si>
  <si>
    <r>
      <t xml:space="preserve">Escenario Sistemas/Aplicaciones: </t>
    </r>
    <r>
      <rPr>
        <b/>
        <sz val="10"/>
        <rFont val="Calibri"/>
        <family val="2"/>
        <scheme val="minor"/>
      </rPr>
      <t>Indisponibilidad de una aplicación / servicio TI crítico para la ejecución del proceso</t>
    </r>
  </si>
  <si>
    <r>
      <t xml:space="preserve">Escenario Sistemas/Aplicaciones: </t>
    </r>
    <r>
      <rPr>
        <b/>
        <sz val="10"/>
        <rFont val="Calibri"/>
        <family val="2"/>
        <scheme val="minor"/>
      </rPr>
      <t>Indisponibilidad masiva de aplicaciones/ servicios TI / comunicaciones</t>
    </r>
  </si>
  <si>
    <r>
      <t xml:space="preserve">Indisponibilidad de la aplicación: </t>
    </r>
    <r>
      <rPr>
        <b/>
        <sz val="10"/>
        <rFont val="Calibri"/>
        <family val="2"/>
        <scheme val="minor"/>
      </rPr>
      <t>CDS - Convenios</t>
    </r>
  </si>
  <si>
    <r>
      <t xml:space="preserve">Indisponibilidad de la aplicación: </t>
    </r>
    <r>
      <rPr>
        <b/>
        <sz val="10"/>
        <rFont val="Calibri"/>
        <family val="2"/>
        <scheme val="minor"/>
      </rPr>
      <t>Finesse</t>
    </r>
  </si>
  <si>
    <r>
      <t>Indisponibilidad de la aplicación</t>
    </r>
    <r>
      <rPr>
        <b/>
        <sz val="10"/>
        <rFont val="Calibri"/>
        <family val="2"/>
        <scheme val="minor"/>
      </rPr>
      <t>: Sitio Privado Internet Mayorista</t>
    </r>
  </si>
  <si>
    <r>
      <t xml:space="preserve">Indisponibilidad de la aplicación: </t>
    </r>
    <r>
      <rPr>
        <b/>
        <sz val="10"/>
        <rFont val="Calibri"/>
        <family val="2"/>
        <scheme val="minor"/>
      </rPr>
      <t>Mercado de Capitales</t>
    </r>
  </si>
  <si>
    <r>
      <t xml:space="preserve">Escenario Infraestructura: </t>
    </r>
    <r>
      <rPr>
        <b/>
        <sz val="10"/>
        <rFont val="Calibri"/>
        <family val="2"/>
        <scheme val="minor"/>
      </rPr>
      <t>Indisponibilidad o destrucción de un Conjunto de Sucursales que afectan a una Región</t>
    </r>
  </si>
  <si>
    <t>No existen controles identificados</t>
  </si>
  <si>
    <r>
      <t xml:space="preserve">Indisponibilidad de la aplicación: </t>
    </r>
    <r>
      <rPr>
        <b/>
        <sz val="10"/>
        <rFont val="Calibri"/>
        <family val="2"/>
        <scheme val="minor"/>
      </rPr>
      <t>InetDatos</t>
    </r>
  </si>
  <si>
    <t>Indisponibilidad De Proveedor Cca Subgerencia Procesos De Convenios Y Pagos (SPCP)</t>
  </si>
  <si>
    <t>4 Medio Alto</t>
  </si>
  <si>
    <t>BCP0355</t>
  </si>
  <si>
    <t>Indisponibilidad de Sistemas Convenio de Pago</t>
  </si>
  <si>
    <t>Observaciones</t>
  </si>
  <si>
    <t>3 Medio</t>
  </si>
  <si>
    <t>1 Muy Poco Probable</t>
  </si>
  <si>
    <t>5 Muy Frecuente</t>
  </si>
  <si>
    <t>BCP0743</t>
  </si>
  <si>
    <t>Ausencia Masiva de Personal – Operar Convenios De Pago</t>
  </si>
  <si>
    <t>Alto</t>
  </si>
  <si>
    <t>NOTA GLOBAL RESIDUAL</t>
  </si>
  <si>
    <t>2 Medio Bajo</t>
  </si>
  <si>
    <r>
      <t xml:space="preserve">Indisponibilidad de la aplicación: </t>
    </r>
    <r>
      <rPr>
        <b/>
        <sz val="10"/>
        <rFont val="Calibri"/>
        <family val="2"/>
        <scheme val="minor"/>
      </rPr>
      <t>Motor de Convenios (MCO)</t>
    </r>
  </si>
  <si>
    <r>
      <t xml:space="preserve">Indisponibilidad de la aplicación: </t>
    </r>
    <r>
      <rPr>
        <b/>
        <sz val="10"/>
        <rFont val="Calibri"/>
        <family val="2"/>
        <scheme val="minor"/>
      </rPr>
      <t>Sistema de Pagos Masivos - SPM</t>
    </r>
  </si>
  <si>
    <r>
      <t xml:space="preserve">Indisponibilidad de la aplicación: </t>
    </r>
    <r>
      <rPr>
        <b/>
        <sz val="10"/>
        <rFont val="Calibri"/>
        <family val="2"/>
        <scheme val="minor"/>
      </rPr>
      <t>OnDemand (Listados Centralizados)</t>
    </r>
  </si>
  <si>
    <r>
      <t xml:space="preserve">Indisponibilidad de la aplicación: </t>
    </r>
    <r>
      <rPr>
        <b/>
        <sz val="10"/>
        <rFont val="Calibri"/>
        <family val="2"/>
        <scheme val="minor"/>
      </rPr>
      <t>Correo Electrónico Corporativo</t>
    </r>
  </si>
  <si>
    <r>
      <t xml:space="preserve">Indisponibilidad de la aplicación: </t>
    </r>
    <r>
      <rPr>
        <b/>
        <sz val="10"/>
        <rFont val="Calibri"/>
        <family val="2"/>
        <scheme val="minor"/>
      </rPr>
      <t>Proceso Fusión</t>
    </r>
  </si>
  <si>
    <r>
      <t xml:space="preserve">Indisponibilidad de la aplicación: </t>
    </r>
    <r>
      <rPr>
        <b/>
        <sz val="10"/>
        <rFont val="Calibri"/>
        <family val="2"/>
        <scheme val="minor"/>
      </rPr>
      <t>BVA</t>
    </r>
  </si>
  <si>
    <r>
      <t>Indisponibilidad de la aplicación</t>
    </r>
    <r>
      <rPr>
        <b/>
        <sz val="10"/>
        <rFont val="Calibri"/>
        <family val="2"/>
        <scheme val="minor"/>
      </rPr>
      <t>: Sitio Privado Internet Minorista (Clientes MYPE)</t>
    </r>
  </si>
  <si>
    <t>Escenario Ciberseguridad</t>
  </si>
  <si>
    <t>Escenario Ciberataque:
Denegación de Servicios y Malware</t>
  </si>
  <si>
    <t>Escenario Personal: Indisponibilidad  masiva de personal (Pandemia)</t>
  </si>
  <si>
    <t>Estrategia implementada el 2020 durante el escenario de Pandemia fue disponer la modalidad de teletrabajo para el personal.</t>
  </si>
  <si>
    <t>Escenario Personal: Indisponibilidad  masiva de personal (Huelga, Servicios Mínimos definidos por la Dirección del Trabajo)</t>
  </si>
  <si>
    <r>
      <t xml:space="preserve">Plan de Continuidad </t>
    </r>
    <r>
      <rPr>
        <b/>
        <sz val="10"/>
        <rFont val="Calibri"/>
        <family val="2"/>
      </rPr>
      <t>BCP0230</t>
    </r>
    <r>
      <rPr>
        <sz val="10"/>
        <rFont val="Calibri"/>
        <family val="2"/>
      </rPr>
      <t xml:space="preserve"> Indisponibilidad De Infraestructura.
La última prueba fue en </t>
    </r>
    <r>
      <rPr>
        <b/>
        <sz val="10"/>
        <rFont val="Calibri"/>
        <family val="2"/>
      </rPr>
      <t>Marzo 2020</t>
    </r>
    <r>
      <rPr>
        <sz val="10"/>
        <rFont val="Calibri"/>
        <family val="2"/>
      </rPr>
      <t xml:space="preserve">, Prueba </t>
    </r>
    <r>
      <rPr>
        <b/>
        <sz val="10"/>
        <rFont val="Calibri"/>
        <family val="2"/>
      </rPr>
      <t>Real,</t>
    </r>
    <r>
      <rPr>
        <sz val="10"/>
        <rFont val="Calibri"/>
        <family val="2"/>
      </rPr>
      <t xml:space="preserve"> resultado </t>
    </r>
    <r>
      <rPr>
        <b/>
        <sz val="10"/>
        <rFont val="Calibri"/>
        <family val="2"/>
      </rPr>
      <t>Satisfactorio</t>
    </r>
    <r>
      <rPr>
        <sz val="10"/>
        <rFont val="Calibri"/>
        <family val="2"/>
      </rPr>
      <t>.</t>
    </r>
  </si>
  <si>
    <r>
      <t xml:space="preserve">Plan de Continuidad </t>
    </r>
    <r>
      <rPr>
        <b/>
        <sz val="10"/>
        <rFont val="Calibri"/>
        <family val="2"/>
        <scheme val="minor"/>
      </rPr>
      <t>BCP0910</t>
    </r>
    <r>
      <rPr>
        <sz val="10"/>
        <rFont val="Calibri"/>
        <family val="2"/>
        <scheme val="minor"/>
      </rPr>
      <t xml:space="preserve"> Ausencia Parcial De Personal Subgerencia de Operaciones de Convenios
El año 2020 no se realizaron pruebas del debido a la contingencia sanitaria.</t>
    </r>
  </si>
  <si>
    <t>Crítico por Servicios Mínimos (SSMM)</t>
  </si>
  <si>
    <r>
      <t xml:space="preserve">Plan de Continuidad </t>
    </r>
    <r>
      <rPr>
        <b/>
        <sz val="10"/>
        <rFont val="Calibri"/>
        <family val="2"/>
        <scheme val="minor"/>
      </rPr>
      <t>BCP0743</t>
    </r>
    <r>
      <rPr>
        <sz val="10"/>
        <rFont val="Calibri"/>
        <family val="2"/>
        <scheme val="minor"/>
      </rPr>
      <t xml:space="preserve"> Ausencia Masiva de Personal - Operar Convenio de Pagos
El año 2020 no se realizaron pruebas del debido a la contingencia sanitaria.</t>
    </r>
  </si>
  <si>
    <t>No Aplica</t>
  </si>
  <si>
    <t>Karen Beltran Henriquez</t>
  </si>
  <si>
    <t>Jefe Continuidad de Negocios</t>
  </si>
  <si>
    <t>Plan BCP0910 fue actualizado durante la revisión del RIA y se envía para validación.</t>
  </si>
  <si>
    <t>- Recepción de nómina de pago
- Realizar provisión de fondos
- Realizar distribución de fondos
- Liquidación del pago a beneficiario con abono en cuenta
- Liquidación de pagos masivos hacia otros bancos
- Liquidación de pagos masivos desde otros bancos
- Realizar rendición del pago
- Devolución de fondos no desembolsados</t>
  </si>
  <si>
    <r>
      <t xml:space="preserve">Plan de Continuidad </t>
    </r>
    <r>
      <rPr>
        <b/>
        <sz val="10"/>
        <rFont val="Calibri"/>
        <family val="2"/>
        <scheme val="minor"/>
      </rPr>
      <t>BCP0866</t>
    </r>
    <r>
      <rPr>
        <sz val="10"/>
        <rFont val="Calibri"/>
        <family val="2"/>
        <scheme val="minor"/>
      </rPr>
      <t xml:space="preserve"> Indisponibilidad De Sistemas – Proveedor Convenios De Pago.
El año 2020 no se realizaron pruebas del debido a la contingencia sanitaria.</t>
    </r>
  </si>
  <si>
    <t>No aplica</t>
  </si>
  <si>
    <t>Validan y distribuyen del sistema productos procesando el pago.</t>
  </si>
  <si>
    <t>Carga la base general del pago cash y ejerce la administración de los servicios de pago y va modificando los estados en la medida que se van pagando y finalmente cuando estos no se logran concretar también ejerce las acciones de caducidad de esos pagos.</t>
  </si>
  <si>
    <t>Se debe actualizar el BCP, todo lo relacionado a sistemas pasa al BCP0355.</t>
  </si>
  <si>
    <t>Sin Comentarios.</t>
  </si>
  <si>
    <r>
      <t xml:space="preserve">Plan de Continuidad </t>
    </r>
    <r>
      <rPr>
        <b/>
        <sz val="10"/>
        <rFont val="Calibri"/>
        <family val="2"/>
        <scheme val="minor"/>
      </rPr>
      <t>BCP0355</t>
    </r>
    <r>
      <rPr>
        <sz val="10"/>
        <rFont val="Calibri"/>
        <family val="2"/>
        <scheme val="minor"/>
      </rPr>
      <t xml:space="preserve"> Indisponibilidad De Sistemas - Sin Plataforma Universal (Listados Centralizados) 
El año 2020 no se realizaron pruebas del debido a la contingencia sanitaria.</t>
    </r>
  </si>
  <si>
    <t>Se utiliza para procesar las instrucciones enviadas por el Departamento de Abonos para contabilización de provisiones de fondo, devoluciones de fondo, nóminas rechazadas entre otros.</t>
  </si>
  <si>
    <t>Se reciben todas las cartas enviadas por los servicios de salud para provisionar los fondos con las firmas de los apoderados de cada institución y estas se validan con los ejecutivos para realizar el cargo a la cuenta que se está instruyendo.</t>
  </si>
  <si>
    <t>Correo está en la nube, por lo que sólo queda esperar que se restaure el servicio.</t>
  </si>
  <si>
    <t>Toma todas las nóminas que el cliente sube por la plataforma privada (ServiBanca), luego las aglutina en un solo archivo y las envía al motor de convenio.</t>
  </si>
  <si>
    <t>El cliente se autentica y envía las nóminas por medio de ServiBanca. (Persona Jurídica)</t>
  </si>
  <si>
    <t>El cliente se autentica y envía y provisiona las nóminas por medio de ServiBanca. (Persona Natural con Giro)</t>
  </si>
  <si>
    <t>Karen Beltrán Henríquez</t>
  </si>
  <si>
    <t>Se envía una interfaz para la generación de vale vista como medio de pago.</t>
  </si>
  <si>
    <t>No existe contingencia operativa.</t>
  </si>
  <si>
    <t>BCP0230</t>
  </si>
  <si>
    <t>Sin Infraestructura</t>
  </si>
  <si>
    <t>Sin Sistemas</t>
  </si>
  <si>
    <t>Sin Proveedor</t>
  </si>
  <si>
    <t>Ausencia Parcial de Personal</t>
  </si>
  <si>
    <t>Ausencia Masiva de Personal</t>
  </si>
  <si>
    <t>Proceso: Operar Convenios de Pago</t>
  </si>
  <si>
    <t>Presta el servicio por el cual los clientes envían las nóminas de pago, las estandariza y envía al Banco para que MCO o CDS procece los pagos.</t>
  </si>
  <si>
    <t>Imprime las liquidaciones de pago del IPS.</t>
  </si>
  <si>
    <t>Sin Observaciones</t>
  </si>
  <si>
    <t>Descripción contingencia</t>
  </si>
  <si>
    <t>Plan de continuidad fue enviado para validación.</t>
  </si>
  <si>
    <t>Se debe incorporar al BCP0355.</t>
  </si>
  <si>
    <t>Se debe crear plan para la indisponbilidad de esos sistemas.</t>
  </si>
  <si>
    <t>Se debe crear plan.</t>
  </si>
  <si>
    <t>Marzo 2020</t>
  </si>
  <si>
    <t>Indisponibilidad De Infraestructura</t>
  </si>
  <si>
    <r>
      <t xml:space="preserve">Indisponibilidad de la aplicación:
</t>
    </r>
    <r>
      <rPr>
        <b/>
        <sz val="10"/>
        <rFont val="Calibri"/>
        <family val="2"/>
        <scheme val="minor"/>
      </rPr>
      <t>Pantalla Admistrativa: Módulo 07 - CCM/CVC</t>
    </r>
  </si>
  <si>
    <t>En CCM se realizan los cobros manuales de convenios con tarifas especiales. Se ingresan datos del cliente, monto neto, convenio, detalles de la factura como cantidad de tx, etc. y el sistema arroja automáticamente la cuenta. Al día siguiente se genera la factura y cargo en la cuenta.
En este módulo también se realiza el cambio de glosa en la cartola del cliente.
Esta tarea sólo puede realizarse el 3° día habil. En CDS se consultan las operaciones pendientes de cobro, las que van quedando registradas en la cuenta contable 2629000.</t>
  </si>
  <si>
    <t xml:space="preserve">Ante la ausencia de CCM, la contingecia es un traspaso manual y GoSocket para generar factura.                                   Para el caso de CVC, si no esta operativo el sistema se puede consultar una planilla excel, que se actualiza cada 15 días. Si se desea rebajar una vigente se envía un traspaso, informando número de la vigente a contabilidad. </t>
  </si>
  <si>
    <r>
      <t xml:space="preserve">Indisponibilidad de la aplicación:
</t>
    </r>
    <r>
      <rPr>
        <b/>
        <sz val="10"/>
        <rFont val="Calibri"/>
        <family val="2"/>
        <scheme val="minor"/>
      </rPr>
      <t>Pantalla Admistrativa: Módulo 45 Opción 11-04 - Cobro de Comisión</t>
    </r>
  </si>
  <si>
    <t>Se utiliza para ingreso de dirección y mail para proceso de facturación, cuenta de cargo de comisión, tipo de cobro (manual/automático) e ingreso de tarifas.</t>
  </si>
  <si>
    <t>No existe contingencia operativa, se debe esperar que se restaure el aplicativo.</t>
  </si>
  <si>
    <r>
      <t xml:space="preserve">Escenario Personal: </t>
    </r>
    <r>
      <rPr>
        <b/>
        <sz val="10"/>
        <rFont val="Calibri"/>
        <family val="2"/>
        <scheme val="minor"/>
      </rPr>
      <t>Indisponibilidad  personal clave</t>
    </r>
    <r>
      <rPr>
        <sz val="10"/>
        <rFont val="Calibri"/>
        <family val="2"/>
        <scheme val="minor"/>
      </rPr>
      <t xml:space="preserve">
</t>
    </r>
    <r>
      <rPr>
        <b/>
        <sz val="10"/>
        <rFont val="Calibri"/>
        <family val="2"/>
        <scheme val="minor"/>
      </rPr>
      <t xml:space="preserve">Departamento de Abonos (Bandera 60, Piso 3)
</t>
    </r>
    <r>
      <rPr>
        <sz val="10"/>
        <rFont val="Calibri"/>
        <family val="2"/>
        <scheme val="minor"/>
      </rPr>
      <t xml:space="preserve">
- Ines Escobar Vargas / Jefe de Area Operaciones de Convenio
- Darwin Rossel Lucares / Jefe Departamento Abonos
- Sandra Concha Rubilar / Jefe Sección Pensiones
- Selma Defaur Torres / Analista Sección Pensiones
- Bernardo Vargas Maulen / Encargado Operaciones CCA
- Alex Ibarra Perez / Encargado MYPE
- Mauricio Serrano Jimenez / Analista Sección Abonos
- Patricio Olivares Sepulveda / Analista Sección Pensiones
- María Cecilia Tilleria /Analista Sección Abonos
- Patricio Rodriguez Berrios / Analista Sección Pensiones
- María Soledad Tapia / Administrativo Seccón Pensiones</t>
    </r>
  </si>
  <si>
    <r>
      <t xml:space="preserve">Indisponibilidad del </t>
    </r>
    <r>
      <rPr>
        <b/>
        <sz val="10"/>
        <rFont val="Calibri"/>
        <family val="2"/>
        <scheme val="minor"/>
      </rPr>
      <t xml:space="preserve">personal clave de  Proceso de Convenio de Pago
Departamento de Abonos:
- </t>
    </r>
    <r>
      <rPr>
        <sz val="10"/>
        <rFont val="Calibri"/>
        <family val="2"/>
        <scheme val="minor"/>
      </rPr>
      <t>Ines Escobar Vargas / Jefe de Area Operaciones de Convenio
- Darwin Rossel Lucares / Jefe Departamento Abonos
- Sandra Concha Rubilar / Jefe Sección Pensiones
- Selma Defaur Torres / Analista Sección Pensiones
- Bernardo Vargas Maulen / Encargado Operaciones CCA
- Alex Ibarra Perez / Encargado MYPE
- Mauricio Serrano Jimenez / Analista Sección Abonos
- Patricio Olivares Sepulveda / Analista Sección Pensiones
- María Cecilia Tilleria /Analista Sección Abonos
- Patricio Rodriguez Berrios / Analista Sección Pensiones
- María Soledad Tapia / Administrativo Seccón Pensiones</t>
    </r>
  </si>
  <si>
    <r>
      <t xml:space="preserve">Plan de Continuidad </t>
    </r>
    <r>
      <rPr>
        <b/>
        <sz val="10"/>
        <rFont val="Calibri"/>
        <family val="2"/>
        <scheme val="minor"/>
      </rPr>
      <t>BCP0910</t>
    </r>
    <r>
      <rPr>
        <sz val="10"/>
        <rFont val="Calibri"/>
        <family val="2"/>
        <scheme val="minor"/>
      </rPr>
      <t xml:space="preserve"> Ausencia Parcial De Personal Subgerencia de Operaciones de Convenios
El año 2020 no se realizaron pruebas del debido a la contingencia sanitaria</t>
    </r>
  </si>
  <si>
    <t>Toma todas las instrucciones qu el Banco envía con ordenes de pago a otros Bancos y las distribuye.
Motor de CCA: Cuando se reciben solicitud de pagos por el sitio privado de clientes  que solicitan abonos a otros Bancos se procesan por el motor de CCA y CCA recibe y distribuye a otros bancos.</t>
  </si>
  <si>
    <r>
      <t xml:space="preserve">Indisponibilidad del servicio prestado por el proveedor: </t>
    </r>
    <r>
      <rPr>
        <b/>
        <sz val="10"/>
        <rFont val="Calibri"/>
        <family val="2"/>
        <scheme val="minor"/>
      </rPr>
      <t>Centro De Compensación Automatizado SA.  - CCA. SA. - Contrato Número 1672 - Transferencia Electrónica De Fondos Entre Instituciones Bancarias</t>
    </r>
    <r>
      <rPr>
        <sz val="10"/>
        <rFont val="Calibri"/>
        <family val="2"/>
        <scheme val="minor"/>
      </rPr>
      <t xml:space="preserve">
Incluye Motor de CCA</t>
    </r>
  </si>
  <si>
    <r>
      <t xml:space="preserve">Imposibililidad de uso de las oficinas por Corte de energia eléctrica o interrupción de servicios básicos del Edificio o imposibililidad de acceso o uso de las oficinas de </t>
    </r>
    <r>
      <rPr>
        <b/>
        <sz val="10"/>
        <rFont val="Calibri"/>
        <family val="2"/>
        <scheme val="minor"/>
      </rPr>
      <t>Bandera  #60 Piso 3 (Subgerencia Operaciones de Convenio)</t>
    </r>
    <r>
      <rPr>
        <sz val="10"/>
        <rFont val="Calibri"/>
        <family val="2"/>
        <scheme val="minor"/>
      </rPr>
      <t xml:space="preserve"> </t>
    </r>
    <r>
      <rPr>
        <b/>
        <sz val="10"/>
        <rFont val="Calibri"/>
        <family val="2"/>
        <scheme val="minor"/>
      </rPr>
      <t>y Departamento de Control Contable y Administrativo (Huérfanos 1175, Piso 5)</t>
    </r>
  </si>
  <si>
    <r>
      <t>Escenario Infraestructura</t>
    </r>
    <r>
      <rPr>
        <b/>
        <sz val="10"/>
        <rFont val="Calibri"/>
        <family val="2"/>
        <scheme val="minor"/>
      </rPr>
      <t>: Indisponibilidad de un edificio o conjunto de edificios</t>
    </r>
    <r>
      <rPr>
        <sz val="10"/>
        <rFont val="Calibri"/>
        <family val="2"/>
        <scheme val="minor"/>
      </rPr>
      <t xml:space="preserve">
</t>
    </r>
    <r>
      <rPr>
        <b/>
        <sz val="10"/>
        <rFont val="Calibri"/>
        <family val="2"/>
        <scheme val="minor"/>
      </rPr>
      <t>Bandera  #60 Piso 3 (Subgerencia Operaciones de Convenio) y Departamento de Control Contable y Administrativo (Huérfanos 1175, Piso 5)</t>
    </r>
  </si>
  <si>
    <r>
      <t>Escenario Ciberataque:
Ransomware Windows (</t>
    </r>
    <r>
      <rPr>
        <b/>
        <sz val="10"/>
        <rFont val="Calibri"/>
        <family val="2"/>
        <scheme val="minor"/>
      </rPr>
      <t>Sin Finesse, Proceso Fusión, Mercado de Capitales, InetDatos</t>
    </r>
    <r>
      <rPr>
        <sz val="10"/>
        <rFont val="Calibri"/>
        <family val="2"/>
        <scheme val="minor"/>
      </rPr>
      <t>)</t>
    </r>
  </si>
  <si>
    <t>Se utiliza para llevar el control de la apertura de cuentas.</t>
  </si>
  <si>
    <t>4 Frecuente</t>
  </si>
  <si>
    <t>Se disponibilizan los archivos los archivo zip con las nóminas, se hace el cruce para ver los registros aceptados por el Banco y el IPS acepta o rechaza el pago de esa nómina.</t>
  </si>
  <si>
    <r>
      <t xml:space="preserve">Indisponibilidad de la aplicación: </t>
    </r>
    <r>
      <rPr>
        <b/>
        <sz val="10"/>
        <rFont val="Calibri"/>
        <family val="2"/>
        <scheme val="minor"/>
      </rPr>
      <t>Portal IPS</t>
    </r>
  </si>
  <si>
    <t>Sin contingencia.</t>
  </si>
  <si>
    <t xml:space="preserve"> Herramienta de contingencia cuando el cliente tiene algún tipo de dificultad, para cargar nóminas y de consulta de estados entre otros.</t>
  </si>
  <si>
    <t>Ruta alternativa sitio público.</t>
  </si>
  <si>
    <t>Contingencia solo para Conectividad con CCA por medio de Starweb. No hay contingencia para Motor de CCA ni indisponibilidad total de CCA.</t>
  </si>
  <si>
    <t>La contingencia es utilizar el CDS.</t>
  </si>
  <si>
    <t>La contingencia es utilizar el MCO para los registros en los que es compatible.</t>
  </si>
  <si>
    <t>No aplica.</t>
  </si>
  <si>
    <t>Utilizar inyector de cargos y abonos del Departamento de Daniela Cifuentes o del Departamento de Abonos (para Abonos y Cargos).</t>
  </si>
  <si>
    <t>En el se generan las nóminas de pago producto del proceso fusión y además toda la rendición del proceso Operar Convenio de Pagos en el srv_recursos</t>
  </si>
  <si>
    <t>Se opera por una casilla sftp la que permite continuar con el flujo.</t>
  </si>
  <si>
    <t>Solo para los sistemas detallados en el RIA.</t>
  </si>
  <si>
    <t>Se evalaurá una vez se cuente con VB.</t>
  </si>
  <si>
    <r>
      <t xml:space="preserve">Indisponibilidad del personal clave del Proceso de Convenios de Pago
</t>
    </r>
    <r>
      <rPr>
        <b/>
        <sz val="10"/>
        <rFont val="Calibri"/>
        <family val="2"/>
        <scheme val="minor"/>
      </rPr>
      <t xml:space="preserve">-Departamento de Control Contable y Adminstrativo (Huérfanos 1175, Piso 5)
</t>
    </r>
    <r>
      <rPr>
        <sz val="10"/>
        <rFont val="Calibri"/>
        <family val="2"/>
        <scheme val="minor"/>
      </rPr>
      <t>Leonardo Herrera (Analista de Proceso Unidad Administracion Y Control Contable)
Pablo Franz (Encargado Unidad Administración y Control Contable)
Jonathan Solis Arredondo (Analista de Procesos Gerencia De Operaciones Banca Minorista Y Servicio)
Natalia Valenzuela Duran (Administrativo Unidad Administración y Control Contable)</t>
    </r>
  </si>
  <si>
    <r>
      <t xml:space="preserve">Escenario Personal: </t>
    </r>
    <r>
      <rPr>
        <b/>
        <sz val="10"/>
        <rFont val="Calibri"/>
        <family val="2"/>
        <scheme val="minor"/>
      </rPr>
      <t xml:space="preserve">Indisponibilidad  personal clave
-Departamento de Control Contable y Adminstrativo (Huérfanos 1175, Piso 5)
</t>
    </r>
    <r>
      <rPr>
        <sz val="10"/>
        <rFont val="Calibri"/>
        <family val="2"/>
        <scheme val="minor"/>
      </rPr>
      <t>Leonardo Herrera (Analista de Proceso)
Pablo Franz (Encargado Unidad Administración y Control Contable)
Leonardo Herrera (Analista de Proceso Unidad Administracion Y Control Contable)
Pablo Franz (Encargado Unidad Administración y Control Contable)
Jonathan Solis Arredondo (Analista de Procesos Gerencia De Operaciones Banca Minorista Y Servicio)
Natalia Valenzuela Duran (Administrativo Unidad Administración y Control Contable)</t>
    </r>
  </si>
  <si>
    <t>Se debe actualizar plan de Continuidad BCP0910 dado los cambios que se han producido de las personas y los roles que cumplen y ejecutar las pruebas.</t>
  </si>
  <si>
    <t>Se debe eliminar el sistema del BCP0355, ya que no es crítico.</t>
  </si>
  <si>
    <t>Se debe actualizar el BCP, todo lo relacionado a sistemas pasa al BCP0865.</t>
  </si>
  <si>
    <r>
      <t xml:space="preserve">Plan de Continuidad </t>
    </r>
    <r>
      <rPr>
        <b/>
        <sz val="10"/>
        <rFont val="Calibri"/>
        <family val="2"/>
        <scheme val="minor"/>
      </rPr>
      <t>BCP0865</t>
    </r>
    <r>
      <rPr>
        <sz val="10"/>
        <rFont val="Calibri"/>
        <family val="2"/>
        <scheme val="minor"/>
      </rPr>
      <t xml:space="preserve"> Indisponibilidad De Proveedor CCA Subgerencia Procesos De Convenios Y Pagos (SPCP)
El año 2020 no se realizaron pruebas del debido a la contingencia sanitaria.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</si>
</sst>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5" x14ac:knownFonts="1">
    <font>
      <sz val="10"/>
      <name val="Arial"/>
    </font>
    <font>
      <sz val="11"/>
      <color theme="1"/>
      <name val="Calibri"/>
      <family val="2"/>
      <scheme val="minor"/>
    </font>
    <font>
      <sz val="11"/>
      <color theme="1"/>
      <name val="Calibri"/>
      <family val="2"/>
      <scheme val="minor"/>
    </font>
    <font>
      <sz val="10"/>
      <name val="Arial"/>
      <family val="2"/>
    </font>
    <font>
      <b/>
      <sz val="10"/>
      <name val="Arial"/>
      <family val="2"/>
    </font>
    <font>
      <sz val="10"/>
      <name val="Arial"/>
      <family val="2"/>
    </font>
    <font>
      <sz val="10"/>
      <name val="Arial"/>
      <family val="2"/>
    </font>
    <font>
      <sz val="12"/>
      <color indexed="18"/>
      <name val="Arial"/>
      <family val="2"/>
    </font>
    <font>
      <sz val="8"/>
      <name val="Arial"/>
      <family val="2"/>
    </font>
    <font>
      <b/>
      <sz val="14"/>
      <color indexed="8"/>
      <name val="Arial"/>
      <family val="2"/>
    </font>
    <font>
      <b/>
      <sz val="14"/>
      <color indexed="18"/>
      <name val="Arial"/>
      <family val="2"/>
    </font>
    <font>
      <b/>
      <sz val="14"/>
      <color indexed="9"/>
      <name val="Arial"/>
      <family val="2"/>
    </font>
    <font>
      <b/>
      <u/>
      <sz val="14"/>
      <color indexed="18"/>
      <name val="Arial"/>
      <family val="2"/>
    </font>
    <font>
      <sz val="10"/>
      <name val="Arial"/>
      <family val="2"/>
    </font>
    <font>
      <sz val="10"/>
      <color indexed="18"/>
      <name val="Arial"/>
      <family val="2"/>
    </font>
    <font>
      <sz val="11"/>
      <color theme="1"/>
      <name val="Calibri"/>
      <family val="2"/>
      <scheme val="minor"/>
    </font>
    <font>
      <b/>
      <sz val="14"/>
      <color rgb="FF000000"/>
      <name val="Calibri"/>
      <family val="2"/>
    </font>
    <font>
      <sz val="11"/>
      <color rgb="FF000000"/>
      <name val="Calibri"/>
      <family val="2"/>
    </font>
    <font>
      <sz val="11"/>
      <name val="Arial"/>
      <family val="2"/>
    </font>
    <font>
      <b/>
      <sz val="10"/>
      <color rgb="FFFFFFFF"/>
      <name val="Calibri"/>
      <family val="2"/>
    </font>
    <font>
      <sz val="10"/>
      <color rgb="FF000000"/>
      <name val="Calibri"/>
      <family val="2"/>
    </font>
    <font>
      <sz val="10"/>
      <name val="Calibri"/>
      <family val="2"/>
    </font>
    <font>
      <b/>
      <sz val="10"/>
      <color rgb="FF000000"/>
      <name val="Calibri"/>
      <family val="2"/>
    </font>
    <font>
      <sz val="10"/>
      <name val="Calibri"/>
      <family val="2"/>
      <scheme val="minor"/>
    </font>
    <font>
      <b/>
      <sz val="12"/>
      <color theme="0"/>
      <name val="Calibri"/>
      <family val="2"/>
      <scheme val="minor"/>
    </font>
    <font>
      <b/>
      <sz val="10"/>
      <color rgb="FF000000"/>
      <name val="Calibri"/>
      <family val="2"/>
      <scheme val="minor"/>
    </font>
    <font>
      <b/>
      <sz val="10"/>
      <name val="Calibri"/>
      <family val="2"/>
    </font>
    <font>
      <sz val="10"/>
      <color indexed="18"/>
      <name val="Calibri"/>
      <family val="2"/>
      <scheme val="minor"/>
    </font>
    <font>
      <b/>
      <sz val="10"/>
      <name val="Calibri"/>
      <family val="2"/>
      <scheme val="minor"/>
    </font>
    <font>
      <b/>
      <sz val="10"/>
      <color rgb="FFFF0000"/>
      <name val="Calibri"/>
      <family val="2"/>
      <scheme val="minor"/>
    </font>
    <font>
      <b/>
      <sz val="10"/>
      <color indexed="9"/>
      <name val="Calibri"/>
      <family val="2"/>
      <scheme val="minor"/>
    </font>
    <font>
      <b/>
      <sz val="10"/>
      <color indexed="18"/>
      <name val="Calibri"/>
      <family val="2"/>
      <scheme val="minor"/>
    </font>
    <font>
      <b/>
      <sz val="10"/>
      <color theme="0"/>
      <name val="Calibri"/>
      <family val="2"/>
      <scheme val="minor"/>
    </font>
    <font>
      <b/>
      <sz val="10"/>
      <color rgb="FF1F497D"/>
      <name val="Calibri"/>
      <family val="2"/>
    </font>
    <font>
      <b/>
      <sz val="10"/>
      <color theme="0"/>
      <name val="Calibri"/>
      <family val="2"/>
    </font>
    <font>
      <sz val="10"/>
      <name val="Arial"/>
      <family val="2"/>
    </font>
    <font>
      <sz val="10"/>
      <color theme="1"/>
      <name val="Calibri"/>
      <family val="2"/>
      <scheme val="minor"/>
    </font>
    <font>
      <sz val="9"/>
      <color indexed="81"/>
      <name val="Tahoma"/>
      <family val="2"/>
    </font>
    <font>
      <b/>
      <sz val="9"/>
      <color indexed="81"/>
      <name val="Tahoma"/>
      <family val="2"/>
    </font>
    <font>
      <b/>
      <sz val="14"/>
      <name val="Arial Narrow"/>
      <family val="2"/>
    </font>
    <font>
      <b/>
      <sz val="11"/>
      <color theme="0"/>
      <name val="Calibri"/>
      <family val="2"/>
      <scheme val="minor"/>
    </font>
    <font>
      <b/>
      <sz val="12"/>
      <color indexed="9"/>
      <name val="Calibri"/>
      <family val="2"/>
      <scheme val="minor"/>
    </font>
    <font>
      <b/>
      <sz val="11"/>
      <name val="Calibri"/>
      <family val="2"/>
      <scheme val="minor"/>
    </font>
    <font>
      <sz val="10"/>
      <color rgb="FF000000"/>
      <name val="Calibri"/>
      <family val="2"/>
      <scheme val="minor"/>
    </font>
    <font>
      <b/>
      <sz val="10"/>
      <color theme="1"/>
      <name val="Calibri"/>
      <family val="2"/>
      <scheme val="minor"/>
    </font>
  </fonts>
  <fills count="26">
    <fill>
      <patternFill patternType="none"/>
    </fill>
    <fill>
      <patternFill patternType="gray125"/>
    </fill>
    <fill>
      <patternFill patternType="solid">
        <fgColor indexed="27"/>
        <bgColor indexed="64"/>
      </patternFill>
    </fill>
    <fill>
      <patternFill patternType="solid">
        <fgColor indexed="56"/>
        <bgColor indexed="64"/>
      </patternFill>
    </fill>
    <fill>
      <patternFill patternType="solid">
        <fgColor indexed="42"/>
        <bgColor indexed="64"/>
      </patternFill>
    </fill>
    <fill>
      <patternFill patternType="solid">
        <fgColor indexed="22"/>
        <bgColor indexed="64"/>
      </patternFill>
    </fill>
    <fill>
      <patternFill patternType="solid">
        <fgColor indexed="18"/>
        <bgColor indexed="64"/>
      </patternFill>
    </fill>
    <fill>
      <patternFill patternType="solid">
        <fgColor indexed="55"/>
        <bgColor indexed="64"/>
      </patternFill>
    </fill>
    <fill>
      <patternFill patternType="solid">
        <fgColor theme="3"/>
        <bgColor indexed="64"/>
      </patternFill>
    </fill>
    <fill>
      <patternFill patternType="solid">
        <fgColor rgb="FFFFFF00"/>
        <bgColor indexed="64"/>
      </patternFill>
    </fill>
    <fill>
      <patternFill patternType="solid">
        <fgColor rgb="FFFFC000"/>
        <bgColor indexed="64"/>
      </patternFill>
    </fill>
    <fill>
      <patternFill patternType="solid">
        <fgColor rgb="FFFFFFCC"/>
      </patternFill>
    </fill>
    <fill>
      <patternFill patternType="solid">
        <fgColor theme="0"/>
        <bgColor indexed="64"/>
      </patternFill>
    </fill>
    <fill>
      <patternFill patternType="solid">
        <fgColor rgb="FF00B050"/>
        <bgColor indexed="64"/>
      </patternFill>
    </fill>
    <fill>
      <patternFill patternType="solid">
        <fgColor rgb="FFFF0000"/>
        <bgColor indexed="64"/>
      </patternFill>
    </fill>
    <fill>
      <patternFill patternType="solid">
        <fgColor rgb="FF92D050"/>
        <bgColor indexed="64"/>
      </patternFill>
    </fill>
    <fill>
      <patternFill patternType="solid">
        <fgColor rgb="FFC0C0C0"/>
        <bgColor indexed="64"/>
      </patternFill>
    </fill>
    <fill>
      <patternFill patternType="solid">
        <fgColor rgb="FFA6A6A6"/>
        <bgColor indexed="64"/>
      </patternFill>
    </fill>
    <fill>
      <patternFill patternType="solid">
        <fgColor rgb="FFA5A5A5"/>
        <bgColor indexed="64"/>
      </patternFill>
    </fill>
    <fill>
      <patternFill patternType="solid">
        <fgColor rgb="FF0070C0"/>
        <bgColor indexed="64"/>
      </patternFill>
    </fill>
    <fill>
      <patternFill patternType="solid">
        <fgColor rgb="FFBFBFBF"/>
        <bgColor indexed="64"/>
      </patternFill>
    </fill>
    <fill>
      <patternFill patternType="solid">
        <fgColor rgb="FF00206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indexed="9"/>
        <bgColor indexed="64"/>
      </patternFill>
    </fill>
    <fill>
      <patternFill patternType="solid">
        <fgColor rgb="FFFFFFCC"/>
        <bgColor rgb="FFFFFFFF"/>
      </patternFill>
    </fill>
  </fills>
  <borders count="26">
    <border>
      <left/>
      <right/>
      <top/>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rgb="FFB2B2B2"/>
      </left>
      <right style="thin">
        <color rgb="FFB2B2B2"/>
      </right>
      <top style="thin">
        <color rgb="FFB2B2B2"/>
      </top>
      <bottom style="thin">
        <color rgb="FFB2B2B2"/>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4">
    <xf numFmtId="0" fontId="0" fillId="0" borderId="0"/>
    <xf numFmtId="0" fontId="6" fillId="0" borderId="0"/>
    <xf numFmtId="0" fontId="5" fillId="0" borderId="0"/>
    <xf numFmtId="0" fontId="5" fillId="0" borderId="0"/>
    <xf numFmtId="0" fontId="15" fillId="0" borderId="0"/>
    <xf numFmtId="0" fontId="3" fillId="0" borderId="0"/>
    <xf numFmtId="0" fontId="3" fillId="0" borderId="0"/>
    <xf numFmtId="0" fontId="13" fillId="0" borderId="0"/>
    <xf numFmtId="0" fontId="3" fillId="11" borderId="21" applyNumberFormat="0" applyFont="0" applyAlignment="0" applyProtection="0"/>
    <xf numFmtId="0" fontId="2" fillId="0" borderId="0"/>
    <xf numFmtId="0" fontId="3" fillId="0" borderId="0"/>
    <xf numFmtId="0" fontId="3" fillId="0" borderId="0"/>
    <xf numFmtId="0" fontId="1" fillId="0" borderId="0"/>
    <xf numFmtId="9" fontId="35" fillId="0" borderId="0" applyFont="0" applyFill="0" applyBorder="0" applyAlignment="0" applyProtection="0"/>
  </cellStyleXfs>
  <cellXfs count="128">
    <xf numFmtId="0" fontId="0" fillId="0" borderId="0" xfId="0"/>
    <xf numFmtId="0" fontId="7" fillId="0" borderId="1" xfId="5" applyFont="1" applyBorder="1" applyAlignment="1">
      <alignment horizontal="left" vertical="center" wrapText="1"/>
    </xf>
    <xf numFmtId="0" fontId="7" fillId="0" borderId="2" xfId="5" applyFont="1" applyBorder="1" applyAlignment="1">
      <alignment horizontal="left" vertical="center" wrapText="1"/>
    </xf>
    <xf numFmtId="0" fontId="7" fillId="0" borderId="3" xfId="5" applyFont="1" applyBorder="1" applyAlignment="1">
      <alignment horizontal="left" vertical="center" wrapText="1"/>
    </xf>
    <xf numFmtId="0" fontId="4" fillId="0" borderId="0" xfId="0" applyFont="1" applyAlignment="1">
      <alignment vertical="center" wrapText="1"/>
    </xf>
    <xf numFmtId="0" fontId="10" fillId="0" borderId="4" xfId="6" applyFont="1" applyBorder="1" applyAlignment="1">
      <alignment vertical="center" wrapText="1"/>
    </xf>
    <xf numFmtId="0" fontId="10" fillId="0" borderId="5" xfId="6" applyFont="1" applyBorder="1" applyAlignment="1">
      <alignment vertical="center" wrapText="1"/>
    </xf>
    <xf numFmtId="0" fontId="10" fillId="0" borderId="6" xfId="6" applyFont="1" applyBorder="1" applyAlignment="1">
      <alignment horizontal="center" vertical="center" wrapText="1"/>
    </xf>
    <xf numFmtId="0" fontId="10" fillId="0" borderId="7" xfId="6" applyFont="1" applyBorder="1" applyAlignment="1">
      <alignment vertical="center" wrapText="1"/>
    </xf>
    <xf numFmtId="0" fontId="10" fillId="2" borderId="8" xfId="6" applyFont="1" applyFill="1" applyBorder="1" applyAlignment="1">
      <alignment horizontal="center" vertical="center" wrapText="1"/>
    </xf>
    <xf numFmtId="0" fontId="10" fillId="2" borderId="9" xfId="6" applyFont="1" applyFill="1" applyBorder="1" applyAlignment="1">
      <alignment horizontal="center" vertical="center" wrapText="1"/>
    </xf>
    <xf numFmtId="0" fontId="10" fillId="2" borderId="10" xfId="6" applyFont="1" applyFill="1" applyBorder="1" applyAlignment="1">
      <alignment horizontal="center" vertical="center" wrapText="1"/>
    </xf>
    <xf numFmtId="0" fontId="14" fillId="0" borderId="0" xfId="5" applyFont="1" applyAlignment="1">
      <alignment vertical="center" wrapText="1"/>
    </xf>
    <xf numFmtId="0" fontId="14" fillId="0" borderId="0" xfId="5" applyFont="1" applyAlignment="1">
      <alignment horizontal="center" vertical="center" wrapText="1"/>
    </xf>
    <xf numFmtId="0" fontId="0" fillId="12" borderId="0" xfId="0" applyFill="1"/>
    <xf numFmtId="0" fontId="19" fillId="19" borderId="11" xfId="9" applyFont="1" applyFill="1" applyBorder="1" applyAlignment="1">
      <alignment horizontal="center" vertical="center" wrapText="1"/>
    </xf>
    <xf numFmtId="0" fontId="2" fillId="0" borderId="0" xfId="9"/>
    <xf numFmtId="0" fontId="20" fillId="0" borderId="11" xfId="9" applyFont="1" applyBorder="1" applyAlignment="1">
      <alignment horizontal="left" vertical="center" wrapText="1"/>
    </xf>
    <xf numFmtId="0" fontId="20" fillId="20" borderId="11" xfId="9" applyFont="1" applyFill="1" applyBorder="1" applyAlignment="1">
      <alignment horizontal="left" vertical="center" wrapText="1"/>
    </xf>
    <xf numFmtId="0" fontId="24" fillId="8" borderId="11" xfId="3" applyFont="1" applyFill="1" applyBorder="1" applyAlignment="1">
      <alignment horizontal="center" vertical="center" wrapText="1"/>
    </xf>
    <xf numFmtId="0" fontId="25" fillId="0" borderId="11" xfId="3" applyFont="1" applyBorder="1" applyAlignment="1">
      <alignment horizontal="justify" vertical="center" wrapText="1"/>
    </xf>
    <xf numFmtId="14" fontId="25" fillId="0" borderId="11" xfId="3" applyNumberFormat="1" applyFont="1" applyBorder="1" applyAlignment="1">
      <alignment horizontal="center" vertical="center" wrapText="1"/>
    </xf>
    <xf numFmtId="0" fontId="27" fillId="0" borderId="0" xfId="5" applyFont="1" applyAlignment="1">
      <alignment vertical="center" wrapText="1"/>
    </xf>
    <xf numFmtId="0" fontId="27" fillId="0" borderId="0" xfId="5" applyFont="1" applyAlignment="1">
      <alignment horizontal="center" vertical="center" wrapText="1"/>
    </xf>
    <xf numFmtId="0" fontId="30" fillId="3" borderId="11" xfId="1" applyFont="1" applyFill="1" applyBorder="1" applyAlignment="1">
      <alignment horizontal="center" vertical="center" wrapText="1"/>
    </xf>
    <xf numFmtId="0" fontId="29" fillId="9" borderId="11" xfId="1" applyFont="1" applyFill="1" applyBorder="1" applyAlignment="1">
      <alignment horizontal="center" vertical="center" wrapText="1"/>
    </xf>
    <xf numFmtId="0" fontId="23" fillId="0" borderId="11" xfId="1" applyFont="1" applyBorder="1" applyAlignment="1" applyProtection="1">
      <alignment horizontal="center" vertical="center" wrapText="1"/>
      <protection locked="0"/>
    </xf>
    <xf numFmtId="0" fontId="23" fillId="0" borderId="11" xfId="2" applyFont="1" applyBorder="1" applyAlignment="1">
      <alignment horizontal="center" vertical="center" wrapText="1"/>
    </xf>
    <xf numFmtId="0" fontId="23" fillId="4" borderId="11" xfId="5" applyFont="1" applyFill="1" applyBorder="1" applyAlignment="1" applyProtection="1">
      <alignment vertical="center" wrapText="1"/>
      <protection locked="0"/>
    </xf>
    <xf numFmtId="0" fontId="23" fillId="0" borderId="11" xfId="2" applyFont="1" applyBorder="1" applyAlignment="1">
      <alignment horizontal="left" vertical="center" wrapText="1"/>
    </xf>
    <xf numFmtId="0" fontId="23" fillId="11" borderId="11" xfId="8" quotePrefix="1" applyNumberFormat="1" applyFont="1" applyBorder="1" applyAlignment="1" applyProtection="1">
      <alignment horizontal="left" vertical="center" wrapText="1"/>
      <protection locked="0"/>
    </xf>
    <xf numFmtId="0" fontId="23" fillId="0" borderId="11" xfId="5" applyFont="1" applyBorder="1" applyAlignment="1" applyProtection="1">
      <alignment vertical="center" wrapText="1"/>
      <protection locked="0"/>
    </xf>
    <xf numFmtId="164" fontId="23" fillId="0" borderId="11" xfId="0" applyNumberFormat="1" applyFont="1" applyBorder="1" applyAlignment="1">
      <alignment vertical="center"/>
    </xf>
    <xf numFmtId="164" fontId="23" fillId="0" borderId="11" xfId="0" applyNumberFormat="1" applyFont="1" applyBorder="1" applyAlignment="1">
      <alignment vertical="center" wrapText="1"/>
    </xf>
    <xf numFmtId="0" fontId="27" fillId="0" borderId="11" xfId="5" applyFont="1" applyBorder="1" applyAlignment="1" applyProtection="1">
      <alignment vertical="center" wrapText="1"/>
      <protection locked="0"/>
    </xf>
    <xf numFmtId="0" fontId="27" fillId="5" borderId="11" xfId="5" applyFont="1" applyFill="1" applyBorder="1" applyAlignment="1" applyProtection="1">
      <alignment horizontal="center" vertical="center" wrapText="1"/>
      <protection locked="0"/>
    </xf>
    <xf numFmtId="0" fontId="23" fillId="0" borderId="11" xfId="5" applyFont="1" applyBorder="1" applyAlignment="1" applyProtection="1">
      <alignment horizontal="center" vertical="center" wrapText="1"/>
      <protection locked="0"/>
    </xf>
    <xf numFmtId="0" fontId="28" fillId="0" borderId="0" xfId="0" applyFont="1" applyAlignment="1">
      <alignment vertical="center" wrapText="1"/>
    </xf>
    <xf numFmtId="0" fontId="23" fillId="0" borderId="0" xfId="0" applyFont="1" applyAlignment="1">
      <alignment vertical="center" wrapText="1"/>
    </xf>
    <xf numFmtId="0" fontId="21" fillId="0" borderId="11" xfId="9" applyFont="1" applyBorder="1" applyAlignment="1">
      <alignment horizontal="center" vertical="center"/>
    </xf>
    <xf numFmtId="14" fontId="21" fillId="0" borderId="11" xfId="9" applyNumberFormat="1" applyFont="1" applyBorder="1" applyAlignment="1">
      <alignment horizontal="center" vertical="center"/>
    </xf>
    <xf numFmtId="0" fontId="21" fillId="20" borderId="11" xfId="9" applyFont="1" applyFill="1" applyBorder="1" applyAlignment="1">
      <alignment horizontal="center" vertical="center" wrapText="1"/>
    </xf>
    <xf numFmtId="0" fontId="26" fillId="16" borderId="22" xfId="0" applyFont="1" applyFill="1" applyBorder="1" applyAlignment="1">
      <alignment horizontal="center" wrapText="1" readingOrder="1"/>
    </xf>
    <xf numFmtId="0" fontId="21" fillId="0" borderId="23" xfId="0" applyFont="1" applyBorder="1" applyAlignment="1">
      <alignment horizontal="center" vertical="top" wrapText="1" readingOrder="1"/>
    </xf>
    <xf numFmtId="0" fontId="21" fillId="0" borderId="24" xfId="0" applyFont="1" applyBorder="1" applyAlignment="1">
      <alignment horizontal="center" vertical="top" wrapText="1" readingOrder="1"/>
    </xf>
    <xf numFmtId="0" fontId="21" fillId="0" borderId="25" xfId="0" applyFont="1" applyBorder="1" applyAlignment="1">
      <alignment horizontal="center" vertical="top" wrapText="1" readingOrder="1"/>
    </xf>
    <xf numFmtId="0" fontId="32" fillId="13" borderId="11" xfId="1" applyFont="1" applyFill="1" applyBorder="1" applyAlignment="1">
      <alignment horizontal="center" vertical="center" wrapText="1"/>
    </xf>
    <xf numFmtId="0" fontId="23" fillId="11" borderId="11" xfId="8" applyNumberFormat="1" applyFont="1" applyBorder="1" applyAlignment="1" applyProtection="1">
      <alignment horizontal="left" vertical="center" wrapText="1"/>
      <protection locked="0"/>
    </xf>
    <xf numFmtId="0" fontId="3" fillId="0" borderId="0" xfId="11"/>
    <xf numFmtId="0" fontId="33" fillId="12" borderId="0" xfId="11" applyFont="1" applyFill="1" applyAlignment="1">
      <alignment wrapText="1"/>
    </xf>
    <xf numFmtId="0" fontId="34" fillId="21" borderId="11" xfId="11" applyFont="1" applyFill="1" applyBorder="1" applyAlignment="1">
      <alignment vertical="center" wrapText="1"/>
    </xf>
    <xf numFmtId="0" fontId="21" fillId="12" borderId="11" xfId="11" applyFont="1" applyFill="1" applyBorder="1" applyAlignment="1">
      <alignment horizontal="center" vertical="center" wrapText="1"/>
    </xf>
    <xf numFmtId="0" fontId="21" fillId="12" borderId="11" xfId="11" applyFont="1" applyFill="1" applyBorder="1" applyAlignment="1">
      <alignment horizontal="left" vertical="center" wrapText="1"/>
    </xf>
    <xf numFmtId="0" fontId="19" fillId="19" borderId="11" xfId="12" applyFont="1" applyFill="1" applyBorder="1" applyAlignment="1">
      <alignment horizontal="center" vertical="center" wrapText="1"/>
    </xf>
    <xf numFmtId="0" fontId="36" fillId="22" borderId="11" xfId="9" applyFont="1" applyFill="1" applyBorder="1"/>
    <xf numFmtId="14" fontId="21" fillId="20" borderId="11" xfId="9" applyNumberFormat="1" applyFont="1" applyFill="1" applyBorder="1" applyAlignment="1">
      <alignment horizontal="center" vertical="center" wrapText="1"/>
    </xf>
    <xf numFmtId="9" fontId="29" fillId="9" borderId="11" xfId="13" applyFont="1" applyFill="1" applyBorder="1" applyAlignment="1" applyProtection="1">
      <alignment horizontal="center" vertical="center" wrapText="1"/>
      <protection locked="0"/>
    </xf>
    <xf numFmtId="0" fontId="36" fillId="12" borderId="11" xfId="9" applyFont="1" applyFill="1" applyBorder="1"/>
    <xf numFmtId="0" fontId="22" fillId="17" borderId="11" xfId="11" applyFont="1" applyFill="1" applyBorder="1" applyAlignment="1">
      <alignment horizontal="center" vertical="center" wrapText="1" readingOrder="1"/>
    </xf>
    <xf numFmtId="0" fontId="22" fillId="18" borderId="11" xfId="11" applyFont="1" applyFill="1" applyBorder="1" applyAlignment="1">
      <alignment horizontal="center" vertical="center" wrapText="1" readingOrder="1"/>
    </xf>
    <xf numFmtId="0" fontId="3" fillId="12" borderId="0" xfId="11" applyFill="1"/>
    <xf numFmtId="0" fontId="22" fillId="14" borderId="11" xfId="11" applyFont="1" applyFill="1" applyBorder="1" applyAlignment="1">
      <alignment vertical="center" wrapText="1" readingOrder="1"/>
    </xf>
    <xf numFmtId="0" fontId="20" fillId="12" borderId="11" xfId="11" applyFont="1" applyFill="1" applyBorder="1" applyAlignment="1">
      <alignment vertical="center" wrapText="1" readingOrder="1"/>
    </xf>
    <xf numFmtId="0" fontId="20" fillId="0" borderId="11" xfId="11" applyFont="1" applyBorder="1" applyAlignment="1">
      <alignment vertical="center" wrapText="1" readingOrder="1"/>
    </xf>
    <xf numFmtId="0" fontId="22" fillId="10" borderId="11" xfId="11" applyFont="1" applyFill="1" applyBorder="1" applyAlignment="1">
      <alignment vertical="center" wrapText="1" readingOrder="1"/>
    </xf>
    <xf numFmtId="0" fontId="22" fillId="9" borderId="11" xfId="11" applyFont="1" applyFill="1" applyBorder="1" applyAlignment="1">
      <alignment vertical="center" wrapText="1" readingOrder="1"/>
    </xf>
    <xf numFmtId="0" fontId="3" fillId="12" borderId="11" xfId="11" applyFill="1" applyBorder="1" applyAlignment="1">
      <alignment vertical="center" wrapText="1" readingOrder="1"/>
    </xf>
    <xf numFmtId="0" fontId="22" fillId="15" borderId="11" xfId="11" applyFont="1" applyFill="1" applyBorder="1" applyAlignment="1">
      <alignment vertical="center" wrapText="1" readingOrder="1"/>
    </xf>
    <xf numFmtId="0" fontId="22" fillId="13" borderId="11" xfId="11" applyFont="1" applyFill="1" applyBorder="1" applyAlignment="1">
      <alignment vertical="center" wrapText="1" readingOrder="1"/>
    </xf>
    <xf numFmtId="0" fontId="3" fillId="0" borderId="11" xfId="11" applyBorder="1" applyAlignment="1">
      <alignment vertical="center" wrapText="1" readingOrder="1"/>
    </xf>
    <xf numFmtId="0" fontId="16" fillId="12" borderId="0" xfId="11" applyFont="1" applyFill="1" applyAlignment="1">
      <alignment vertical="center" wrapText="1" readingOrder="1"/>
    </xf>
    <xf numFmtId="0" fontId="17" fillId="12" borderId="0" xfId="11" applyFont="1" applyFill="1" applyAlignment="1">
      <alignment vertical="center" wrapText="1" readingOrder="1"/>
    </xf>
    <xf numFmtId="0" fontId="18" fillId="12" borderId="0" xfId="11" applyFont="1" applyFill="1" applyAlignment="1">
      <alignment vertical="center" wrapText="1" readingOrder="1"/>
    </xf>
    <xf numFmtId="0" fontId="29" fillId="12" borderId="11" xfId="5" applyFont="1" applyFill="1" applyBorder="1" applyAlignment="1" applyProtection="1">
      <alignment vertical="center" wrapText="1"/>
      <protection locked="0"/>
    </xf>
    <xf numFmtId="0" fontId="23" fillId="0" borderId="0" xfId="3" applyFont="1" applyAlignment="1">
      <alignment vertical="center"/>
    </xf>
    <xf numFmtId="0" fontId="39" fillId="24" borderId="11" xfId="0" applyFont="1" applyFill="1" applyBorder="1" applyAlignment="1">
      <alignment horizontal="center" vertical="center"/>
    </xf>
    <xf numFmtId="0" fontId="28" fillId="0" borderId="0" xfId="5" applyFont="1" applyAlignment="1">
      <alignment horizontal="center" vertical="center" wrapText="1"/>
    </xf>
    <xf numFmtId="0" fontId="23" fillId="0" borderId="11" xfId="11" applyFont="1" applyBorder="1" applyAlignment="1">
      <alignment horizontal="left" vertical="center" wrapText="1" shrinkToFit="1"/>
    </xf>
    <xf numFmtId="0" fontId="21" fillId="25" borderId="11" xfId="8" applyNumberFormat="1" applyFont="1" applyFill="1" applyBorder="1" applyAlignment="1" applyProtection="1">
      <alignment horizontal="left" vertical="center" wrapText="1"/>
      <protection locked="0"/>
    </xf>
    <xf numFmtId="0" fontId="23" fillId="0" borderId="13" xfId="5" applyFont="1" applyBorder="1" applyAlignment="1" applyProtection="1">
      <alignment horizontal="center" vertical="center" wrapText="1"/>
      <protection locked="0"/>
    </xf>
    <xf numFmtId="0" fontId="23" fillId="12" borderId="11" xfId="2" quotePrefix="1" applyFont="1" applyFill="1" applyBorder="1" applyAlignment="1">
      <alignment horizontal="center" vertical="center" wrapText="1"/>
    </xf>
    <xf numFmtId="0" fontId="43" fillId="0" borderId="11" xfId="0" applyFont="1" applyBorder="1" applyAlignment="1">
      <alignment horizontal="justify" vertical="center" wrapText="1"/>
    </xf>
    <xf numFmtId="49" fontId="21" fillId="20" borderId="11" xfId="9" applyNumberFormat="1" applyFont="1" applyFill="1" applyBorder="1" applyAlignment="1">
      <alignment horizontal="center" vertical="center" wrapText="1"/>
    </xf>
    <xf numFmtId="0" fontId="44" fillId="9" borderId="11" xfId="5" applyFont="1" applyFill="1" applyBorder="1" applyAlignment="1" applyProtection="1">
      <alignment horizontal="center" vertical="center" wrapText="1"/>
      <protection locked="0"/>
    </xf>
    <xf numFmtId="0" fontId="28" fillId="9" borderId="11" xfId="5" applyFont="1" applyFill="1" applyBorder="1" applyAlignment="1" applyProtection="1">
      <alignment horizontal="center" vertical="center" wrapText="1"/>
      <protection locked="0"/>
    </xf>
    <xf numFmtId="0" fontId="41" fillId="8" borderId="11" xfId="7" applyFont="1" applyFill="1" applyBorder="1" applyAlignment="1">
      <alignment horizontal="center" vertical="center" wrapText="1"/>
    </xf>
    <xf numFmtId="0" fontId="40" fillId="8" borderId="13" xfId="3" applyFont="1" applyFill="1" applyBorder="1" applyAlignment="1">
      <alignment horizontal="left" vertical="center" wrapText="1"/>
    </xf>
    <xf numFmtId="0" fontId="40" fillId="8" borderId="14" xfId="3" applyFont="1" applyFill="1" applyBorder="1" applyAlignment="1">
      <alignment horizontal="left" vertical="center" wrapText="1"/>
    </xf>
    <xf numFmtId="0" fontId="42" fillId="9" borderId="14" xfId="3" applyFont="1" applyFill="1" applyBorder="1" applyAlignment="1">
      <alignment horizontal="left" vertical="center" wrapText="1"/>
    </xf>
    <xf numFmtId="0" fontId="42" fillId="9" borderId="15" xfId="3" applyFont="1" applyFill="1" applyBorder="1" applyAlignment="1">
      <alignment horizontal="left" vertical="center"/>
    </xf>
    <xf numFmtId="0" fontId="11" fillId="6" borderId="16" xfId="6" applyFont="1" applyFill="1" applyBorder="1" applyAlignment="1">
      <alignment horizontal="center" vertical="center" wrapText="1"/>
    </xf>
    <xf numFmtId="0" fontId="11" fillId="6" borderId="17" xfId="6" applyFont="1" applyFill="1" applyBorder="1" applyAlignment="1">
      <alignment horizontal="center" vertical="center" wrapText="1"/>
    </xf>
    <xf numFmtId="0" fontId="11" fillId="6" borderId="12" xfId="6" applyFont="1" applyFill="1" applyBorder="1" applyAlignment="1">
      <alignment horizontal="center" vertical="center" wrapText="1"/>
    </xf>
    <xf numFmtId="0" fontId="7" fillId="0" borderId="0" xfId="5" applyFont="1" applyAlignment="1">
      <alignment horizontal="left" vertical="center" wrapText="1"/>
    </xf>
    <xf numFmtId="0" fontId="10" fillId="2" borderId="18" xfId="6" applyFont="1" applyFill="1" applyBorder="1" applyAlignment="1">
      <alignment horizontal="left" vertical="center" wrapText="1"/>
    </xf>
    <xf numFmtId="0" fontId="10" fillId="2" borderId="19" xfId="6" applyFont="1" applyFill="1" applyBorder="1" applyAlignment="1">
      <alignment horizontal="left" vertical="center" wrapText="1"/>
    </xf>
    <xf numFmtId="0" fontId="10" fillId="2" borderId="20" xfId="6" applyFont="1" applyFill="1" applyBorder="1" applyAlignment="1">
      <alignment horizontal="left" vertical="center" wrapText="1"/>
    </xf>
    <xf numFmtId="0" fontId="28" fillId="0" borderId="0" xfId="5" applyFont="1" applyAlignment="1">
      <alignment horizontal="left" vertical="center" wrapText="1"/>
    </xf>
    <xf numFmtId="0" fontId="29" fillId="9" borderId="11" xfId="5" applyFont="1" applyFill="1" applyBorder="1" applyAlignment="1">
      <alignment horizontal="center" vertical="center" wrapText="1"/>
    </xf>
    <xf numFmtId="15" fontId="23" fillId="0" borderId="11" xfId="0" applyNumberFormat="1" applyFont="1" applyBorder="1" applyAlignment="1">
      <alignment horizontal="center" vertical="center" wrapText="1"/>
    </xf>
    <xf numFmtId="0" fontId="30" fillId="7" borderId="11" xfId="0" applyFont="1" applyFill="1" applyBorder="1" applyAlignment="1">
      <alignment horizontal="center" vertical="center" wrapText="1"/>
    </xf>
    <xf numFmtId="0" fontId="30" fillId="7" borderId="14" xfId="0" applyFont="1" applyFill="1" applyBorder="1" applyAlignment="1">
      <alignment horizontal="center" vertical="center" wrapText="1"/>
    </xf>
    <xf numFmtId="0" fontId="30" fillId="7" borderId="15" xfId="0" applyFont="1" applyFill="1" applyBorder="1" applyAlignment="1">
      <alignment horizontal="center" vertical="center" wrapText="1"/>
    </xf>
    <xf numFmtId="0" fontId="30" fillId="7" borderId="13" xfId="0" applyFont="1" applyFill="1" applyBorder="1" applyAlignment="1">
      <alignment horizontal="center" vertical="center" wrapText="1"/>
    </xf>
    <xf numFmtId="0" fontId="28" fillId="23" borderId="14" xfId="2" applyFont="1" applyFill="1" applyBorder="1" applyAlignment="1">
      <alignment horizontal="center" vertical="center" wrapText="1"/>
    </xf>
    <xf numFmtId="0" fontId="4" fillId="23" borderId="13" xfId="5" applyFont="1" applyFill="1" applyBorder="1" applyAlignment="1">
      <alignment horizontal="center" vertical="center" wrapText="1"/>
    </xf>
    <xf numFmtId="0" fontId="4" fillId="23" borderId="14" xfId="5" applyFont="1" applyFill="1" applyBorder="1" applyAlignment="1">
      <alignment horizontal="center" vertical="center" wrapText="1"/>
    </xf>
    <xf numFmtId="0" fontId="23" fillId="0" borderId="11" xfId="0" applyFont="1" applyBorder="1" applyAlignment="1">
      <alignment horizontal="center" vertical="center" wrapText="1"/>
    </xf>
    <xf numFmtId="0" fontId="23" fillId="0" borderId="14" xfId="0" applyFont="1" applyBorder="1" applyAlignment="1">
      <alignment horizontal="center" vertical="center" wrapText="1"/>
    </xf>
    <xf numFmtId="0" fontId="23" fillId="0" borderId="15" xfId="0" applyFont="1" applyBorder="1" applyAlignment="1">
      <alignment horizontal="center" vertical="center" wrapText="1"/>
    </xf>
    <xf numFmtId="0" fontId="23" fillId="0" borderId="13" xfId="0" applyFont="1" applyBorder="1" applyAlignment="1">
      <alignment horizontal="center" vertical="center" wrapText="1"/>
    </xf>
    <xf numFmtId="0" fontId="26" fillId="13" borderId="23" xfId="0" applyFont="1" applyFill="1" applyBorder="1" applyAlignment="1">
      <alignment horizontal="left" vertical="center" wrapText="1" readingOrder="1"/>
    </xf>
    <xf numFmtId="0" fontId="26" fillId="13" borderId="24" xfId="0" applyFont="1" applyFill="1" applyBorder="1" applyAlignment="1">
      <alignment horizontal="left" vertical="center" wrapText="1" readingOrder="1"/>
    </xf>
    <xf numFmtId="0" fontId="26" fillId="13" borderId="25" xfId="0" applyFont="1" applyFill="1" applyBorder="1" applyAlignment="1">
      <alignment horizontal="left" vertical="center" wrapText="1" readingOrder="1"/>
    </xf>
    <xf numFmtId="0" fontId="26" fillId="15" borderId="23" xfId="0" applyFont="1" applyFill="1" applyBorder="1" applyAlignment="1">
      <alignment horizontal="left" vertical="center" wrapText="1" readingOrder="1"/>
    </xf>
    <xf numFmtId="0" fontId="26" fillId="15" borderId="24" xfId="0" applyFont="1" applyFill="1" applyBorder="1" applyAlignment="1">
      <alignment horizontal="left" vertical="center" wrapText="1" readingOrder="1"/>
    </xf>
    <xf numFmtId="0" fontId="26" fillId="15" borderId="25" xfId="0" applyFont="1" applyFill="1" applyBorder="1" applyAlignment="1">
      <alignment horizontal="left" vertical="center" wrapText="1" readingOrder="1"/>
    </xf>
    <xf numFmtId="0" fontId="26" fillId="9" borderId="23" xfId="0" applyFont="1" applyFill="1" applyBorder="1" applyAlignment="1">
      <alignment horizontal="left" vertical="center" wrapText="1" readingOrder="1"/>
    </xf>
    <xf numFmtId="0" fontId="26" fillId="9" borderId="24" xfId="0" applyFont="1" applyFill="1" applyBorder="1" applyAlignment="1">
      <alignment horizontal="left" vertical="center" wrapText="1" readingOrder="1"/>
    </xf>
    <xf numFmtId="0" fontId="26" fillId="9" borderId="25" xfId="0" applyFont="1" applyFill="1" applyBorder="1" applyAlignment="1">
      <alignment horizontal="left" vertical="center" wrapText="1" readingOrder="1"/>
    </xf>
    <xf numFmtId="0" fontId="26" fillId="10" borderId="23" xfId="0" applyFont="1" applyFill="1" applyBorder="1" applyAlignment="1">
      <alignment horizontal="left" vertical="center" wrapText="1" readingOrder="1"/>
    </xf>
    <xf numFmtId="0" fontId="26" fillId="10" borderId="24" xfId="0" applyFont="1" applyFill="1" applyBorder="1" applyAlignment="1">
      <alignment horizontal="left" vertical="center" wrapText="1" readingOrder="1"/>
    </xf>
    <xf numFmtId="0" fontId="26" fillId="10" borderId="25" xfId="0" applyFont="1" applyFill="1" applyBorder="1" applyAlignment="1">
      <alignment horizontal="left" vertical="center" wrapText="1" readingOrder="1"/>
    </xf>
    <xf numFmtId="0" fontId="26" fillId="14" borderId="23" xfId="0" applyFont="1" applyFill="1" applyBorder="1" applyAlignment="1">
      <alignment horizontal="left" vertical="center" wrapText="1" readingOrder="1"/>
    </xf>
    <xf numFmtId="0" fontId="26" fillId="14" borderId="24" xfId="0" applyFont="1" applyFill="1" applyBorder="1" applyAlignment="1">
      <alignment horizontal="left" vertical="center" wrapText="1" readingOrder="1"/>
    </xf>
    <xf numFmtId="0" fontId="26" fillId="14" borderId="25" xfId="0" applyFont="1" applyFill="1" applyBorder="1" applyAlignment="1">
      <alignment horizontal="left" vertical="center" wrapText="1" readingOrder="1"/>
    </xf>
    <xf numFmtId="0" fontId="32" fillId="21" borderId="0" xfId="11" applyFont="1" applyFill="1" applyAlignment="1">
      <alignment horizontal="center" vertical="center"/>
    </xf>
    <xf numFmtId="0" fontId="31" fillId="0" borderId="11" xfId="5" applyFont="1" applyBorder="1" applyAlignment="1">
      <alignment horizontal="center" vertical="center" wrapText="1"/>
    </xf>
  </cellXfs>
  <cellStyles count="14">
    <cellStyle name="l]_x000d__x000a_Path=M:\RIOCEN01_x000d__x000a_Name=Carlos Emilio Brousse_x000d__x000a_DDEApps=nsf,nsg,nsh,ntf,ns2,ors,org_x000d__x000a_SmartIcons=Todos_x000d__x000a_" xfId="1" xr:uid="{00000000-0005-0000-0000-000000000000}"/>
    <cellStyle name="l]_x000d__x000a_Path=M:\RIOCEN01_x000d__x000a_Name=Carlos Emilio Brousse_x000d__x000a_DDEApps=nsf,nsg,nsh,ntf,ns2,ors,org_x000d__x000a_SmartIcons=Todos_x000d__x000a_ 2" xfId="2" xr:uid="{00000000-0005-0000-0000-000001000000}"/>
    <cellStyle name="Normal" xfId="0" builtinId="0"/>
    <cellStyle name="Normal 2" xfId="3" xr:uid="{00000000-0005-0000-0000-000003000000}"/>
    <cellStyle name="Normal 2 2" xfId="11" xr:uid="{00000000-0005-0000-0000-000004000000}"/>
    <cellStyle name="Normal 3" xfId="4" xr:uid="{00000000-0005-0000-0000-000005000000}"/>
    <cellStyle name="Normal 4" xfId="9" xr:uid="{00000000-0005-0000-0000-000006000000}"/>
    <cellStyle name="Normal 5" xfId="10" xr:uid="{00000000-0005-0000-0000-000007000000}"/>
    <cellStyle name="Normal 6" xfId="12" xr:uid="{00000000-0005-0000-0000-000008000000}"/>
    <cellStyle name="Normal_Matriz_Registro_Base_BO_Control" xfId="5" xr:uid="{00000000-0005-0000-0000-000009000000}"/>
    <cellStyle name="Normal_Tipología actualizada de riesgos" xfId="6" xr:uid="{00000000-0005-0000-0000-00000A000000}"/>
    <cellStyle name="Normal_Tipología actualizada de riesgos 2" xfId="7" xr:uid="{00000000-0005-0000-0000-00000B000000}"/>
    <cellStyle name="Notas" xfId="8" builtinId="10"/>
    <cellStyle name="Porcentaje" xfId="13" builtinId="5"/>
  </cellStyles>
  <dxfs count="157">
    <dxf>
      <fill>
        <patternFill>
          <bgColor indexed="13"/>
        </patternFill>
      </fill>
    </dxf>
    <dxf>
      <fill>
        <patternFill>
          <bgColor rgb="FF00B050"/>
        </patternFill>
      </fill>
    </dxf>
    <dxf>
      <fill>
        <patternFill>
          <bgColor indexed="10"/>
        </patternFill>
      </fill>
    </dxf>
    <dxf>
      <fill>
        <patternFill>
          <bgColor indexed="50"/>
        </patternFill>
      </fill>
    </dxf>
    <dxf>
      <fill>
        <patternFill>
          <bgColor rgb="FFFFC000"/>
        </patternFill>
      </fill>
    </dxf>
    <dxf>
      <fill>
        <patternFill>
          <bgColor indexed="50"/>
        </patternFill>
      </fill>
    </dxf>
    <dxf>
      <fill>
        <patternFill>
          <bgColor indexed="13"/>
        </patternFill>
      </fill>
    </dxf>
    <dxf>
      <fill>
        <patternFill>
          <bgColor indexed="10"/>
        </patternFill>
      </fill>
    </dxf>
    <dxf>
      <fill>
        <patternFill>
          <bgColor rgb="FF00B050"/>
        </patternFill>
      </fill>
    </dxf>
    <dxf>
      <fill>
        <patternFill>
          <bgColor indexed="13"/>
        </patternFill>
      </fill>
    </dxf>
    <dxf>
      <fill>
        <patternFill>
          <bgColor rgb="FFFFC000"/>
        </patternFill>
      </fill>
    </dxf>
    <dxf>
      <fill>
        <patternFill>
          <bgColor rgb="FF00B050"/>
        </patternFill>
      </fill>
    </dxf>
    <dxf>
      <fill>
        <patternFill>
          <bgColor indexed="10"/>
        </patternFill>
      </fill>
    </dxf>
    <dxf>
      <fill>
        <patternFill>
          <bgColor indexed="50"/>
        </patternFill>
      </fill>
    </dxf>
    <dxf>
      <fill>
        <patternFill>
          <bgColor indexed="50"/>
        </patternFill>
      </fill>
    </dxf>
    <dxf>
      <fill>
        <patternFill>
          <bgColor indexed="13"/>
        </patternFill>
      </fill>
    </dxf>
    <dxf>
      <fill>
        <patternFill>
          <bgColor indexed="10"/>
        </patternFill>
      </fill>
    </dxf>
    <dxf>
      <fill>
        <patternFill>
          <bgColor rgb="FF00B050"/>
        </patternFill>
      </fill>
    </dxf>
    <dxf>
      <font>
        <condense val="0"/>
        <extend val="0"/>
        <color rgb="FF9C0006"/>
      </font>
      <fill>
        <patternFill>
          <bgColor rgb="FFFFC7CE"/>
        </patternFill>
      </fill>
    </dxf>
    <dxf>
      <font>
        <color auto="1"/>
      </font>
      <fill>
        <patternFill>
          <bgColor rgb="FFFF0000"/>
        </patternFill>
      </fill>
    </dxf>
    <dxf>
      <fill>
        <patternFill>
          <bgColor rgb="FFFFC000"/>
        </patternFill>
      </fill>
    </dxf>
    <dxf>
      <fill>
        <patternFill>
          <bgColor rgb="FFFFC000"/>
        </patternFill>
      </fill>
    </dxf>
    <dxf>
      <fill>
        <patternFill>
          <bgColor rgb="FF00B050"/>
        </patternFill>
      </fill>
    </dxf>
    <dxf>
      <fill>
        <patternFill>
          <bgColor indexed="10"/>
        </patternFill>
      </fill>
    </dxf>
    <dxf>
      <fill>
        <patternFill>
          <bgColor indexed="13"/>
        </patternFill>
      </fill>
    </dxf>
    <dxf>
      <fill>
        <patternFill>
          <bgColor indexed="50"/>
        </patternFill>
      </fill>
    </dxf>
    <dxf>
      <fill>
        <patternFill>
          <bgColor rgb="FF00B050"/>
        </patternFill>
      </fill>
    </dxf>
    <dxf>
      <fill>
        <patternFill>
          <bgColor indexed="50"/>
        </patternFill>
      </fill>
    </dxf>
    <dxf>
      <fill>
        <patternFill>
          <bgColor indexed="10"/>
        </patternFill>
      </fill>
    </dxf>
    <dxf>
      <fill>
        <patternFill>
          <bgColor indexed="13"/>
        </patternFill>
      </fill>
    </dxf>
    <dxf>
      <font>
        <condense val="0"/>
        <extend val="0"/>
        <color rgb="FF9C0006"/>
      </font>
      <fill>
        <patternFill>
          <bgColor rgb="FFFFC7CE"/>
        </patternFill>
      </fill>
    </dxf>
    <dxf>
      <font>
        <color auto="1"/>
      </font>
      <fill>
        <patternFill>
          <bgColor rgb="FFFF0000"/>
        </patternFill>
      </fill>
    </dxf>
    <dxf>
      <fill>
        <patternFill>
          <bgColor indexed="13"/>
        </patternFill>
      </fill>
    </dxf>
    <dxf>
      <fill>
        <patternFill>
          <bgColor indexed="50"/>
        </patternFill>
      </fill>
    </dxf>
    <dxf>
      <fill>
        <patternFill>
          <bgColor rgb="FFFFC000"/>
        </patternFill>
      </fill>
    </dxf>
    <dxf>
      <fill>
        <patternFill>
          <bgColor rgb="FF00B050"/>
        </patternFill>
      </fill>
    </dxf>
    <dxf>
      <fill>
        <patternFill>
          <bgColor indexed="10"/>
        </patternFill>
      </fill>
    </dxf>
    <dxf>
      <fill>
        <patternFill>
          <bgColor rgb="FFFFC000"/>
        </patternFill>
      </fill>
    </dxf>
    <dxf>
      <fill>
        <patternFill>
          <bgColor rgb="FF00B050"/>
        </patternFill>
      </fill>
    </dxf>
    <dxf>
      <fill>
        <patternFill>
          <bgColor indexed="10"/>
        </patternFill>
      </fill>
    </dxf>
    <dxf>
      <fill>
        <patternFill>
          <bgColor indexed="13"/>
        </patternFill>
      </fill>
    </dxf>
    <dxf>
      <fill>
        <patternFill>
          <bgColor indexed="50"/>
        </patternFill>
      </fill>
    </dxf>
    <dxf>
      <fill>
        <patternFill>
          <bgColor rgb="FFFFC000"/>
        </patternFill>
      </fill>
    </dxf>
    <dxf>
      <font>
        <condense val="0"/>
        <extend val="0"/>
        <color rgb="FF9C0006"/>
      </font>
      <fill>
        <patternFill>
          <bgColor rgb="FFFFC7CE"/>
        </patternFill>
      </fill>
    </dxf>
    <dxf>
      <font>
        <color auto="1"/>
      </font>
      <fill>
        <patternFill>
          <bgColor rgb="FFFF0000"/>
        </patternFill>
      </fill>
    </dxf>
    <dxf>
      <font>
        <condense val="0"/>
        <extend val="0"/>
        <color rgb="FF9C0006"/>
      </font>
      <fill>
        <patternFill>
          <bgColor rgb="FFFFC7CE"/>
        </patternFill>
      </fill>
    </dxf>
    <dxf>
      <font>
        <color auto="1"/>
      </font>
      <fill>
        <patternFill>
          <bgColor rgb="FFFF0000"/>
        </patternFill>
      </fill>
    </dxf>
    <dxf>
      <font>
        <condense val="0"/>
        <extend val="0"/>
        <color rgb="FF9C0006"/>
      </font>
      <fill>
        <patternFill>
          <bgColor rgb="FFFFC7CE"/>
        </patternFill>
      </fill>
    </dxf>
    <dxf>
      <font>
        <color auto="1"/>
      </font>
      <fill>
        <patternFill>
          <bgColor rgb="FFFF0000"/>
        </patternFill>
      </fill>
    </dxf>
    <dxf>
      <fill>
        <patternFill>
          <bgColor indexed="13"/>
        </patternFill>
      </fill>
    </dxf>
    <dxf>
      <fill>
        <patternFill>
          <bgColor indexed="10"/>
        </patternFill>
      </fill>
    </dxf>
    <dxf>
      <fill>
        <patternFill>
          <bgColor indexed="50"/>
        </patternFill>
      </fill>
    </dxf>
    <dxf>
      <fill>
        <patternFill>
          <bgColor rgb="FF00B050"/>
        </patternFill>
      </fill>
    </dxf>
    <dxf>
      <fill>
        <patternFill>
          <bgColor rgb="FFFFC000"/>
        </patternFill>
      </fill>
    </dxf>
    <dxf>
      <fill>
        <patternFill>
          <bgColor indexed="50"/>
        </patternFill>
      </fill>
    </dxf>
    <dxf>
      <fill>
        <patternFill>
          <bgColor indexed="13"/>
        </patternFill>
      </fill>
    </dxf>
    <dxf>
      <fill>
        <patternFill>
          <bgColor indexed="10"/>
        </patternFill>
      </fill>
    </dxf>
    <dxf>
      <fill>
        <patternFill>
          <bgColor rgb="FF00B050"/>
        </patternFill>
      </fill>
    </dxf>
    <dxf>
      <fill>
        <patternFill>
          <bgColor rgb="FFFFC000"/>
        </patternFill>
      </fill>
    </dxf>
    <dxf>
      <fill>
        <patternFill>
          <bgColor rgb="FF00B050"/>
        </patternFill>
      </fill>
    </dxf>
    <dxf>
      <fill>
        <patternFill>
          <bgColor indexed="10"/>
        </patternFill>
      </fill>
    </dxf>
    <dxf>
      <fill>
        <patternFill>
          <bgColor indexed="13"/>
        </patternFill>
      </fill>
    </dxf>
    <dxf>
      <fill>
        <patternFill>
          <bgColor indexed="50"/>
        </patternFill>
      </fill>
    </dxf>
    <dxf>
      <fill>
        <patternFill>
          <bgColor indexed="10"/>
        </patternFill>
      </fill>
    </dxf>
    <dxf>
      <fill>
        <patternFill>
          <bgColor rgb="FFFFC000"/>
        </patternFill>
      </fill>
    </dxf>
    <dxf>
      <fill>
        <patternFill>
          <bgColor rgb="FF00B050"/>
        </patternFill>
      </fill>
    </dxf>
    <dxf>
      <fill>
        <patternFill>
          <bgColor indexed="50"/>
        </patternFill>
      </fill>
    </dxf>
    <dxf>
      <fill>
        <patternFill>
          <bgColor indexed="13"/>
        </patternFill>
      </fill>
    </dxf>
    <dxf>
      <fill>
        <patternFill>
          <bgColor rgb="FF00B050"/>
        </patternFill>
      </fill>
    </dxf>
    <dxf>
      <fill>
        <patternFill>
          <bgColor rgb="FFFFC000"/>
        </patternFill>
      </fill>
    </dxf>
    <dxf>
      <fill>
        <patternFill>
          <bgColor indexed="50"/>
        </patternFill>
      </fill>
    </dxf>
    <dxf>
      <fill>
        <patternFill>
          <bgColor indexed="13"/>
        </patternFill>
      </fill>
    </dxf>
    <dxf>
      <fill>
        <patternFill>
          <bgColor indexed="10"/>
        </patternFill>
      </fill>
    </dxf>
    <dxf>
      <fill>
        <patternFill>
          <bgColor rgb="FFFFC000"/>
        </patternFill>
      </fill>
    </dxf>
    <dxf>
      <fill>
        <patternFill>
          <bgColor rgb="FFFFC000"/>
        </patternFill>
      </fill>
    </dxf>
    <dxf>
      <fill>
        <patternFill>
          <bgColor rgb="FFFFFF00"/>
        </patternFill>
      </fill>
    </dxf>
    <dxf>
      <fill>
        <patternFill>
          <bgColor rgb="FF00B050"/>
        </patternFill>
      </fill>
    </dxf>
    <dxf>
      <fill>
        <patternFill>
          <bgColor rgb="FF92D050"/>
        </patternFill>
      </fill>
    </dxf>
    <dxf>
      <fill>
        <patternFill>
          <bgColor rgb="FFFFC000"/>
        </patternFill>
      </fill>
    </dxf>
    <dxf>
      <font>
        <color theme="0"/>
      </font>
      <fill>
        <patternFill>
          <bgColor rgb="FFFF0000"/>
        </patternFill>
      </fill>
    </dxf>
    <dxf>
      <fill>
        <patternFill>
          <bgColor indexed="50"/>
        </patternFill>
      </fill>
    </dxf>
    <dxf>
      <fill>
        <patternFill>
          <bgColor indexed="13"/>
        </patternFill>
      </fill>
    </dxf>
    <dxf>
      <fill>
        <patternFill>
          <bgColor indexed="10"/>
        </patternFill>
      </fill>
    </dxf>
    <dxf>
      <fill>
        <patternFill>
          <bgColor rgb="FF00B050"/>
        </patternFill>
      </fill>
    </dxf>
    <dxf>
      <fill>
        <patternFill>
          <bgColor rgb="FFFFC000"/>
        </patternFill>
      </fill>
    </dxf>
    <dxf>
      <fill>
        <patternFill>
          <bgColor indexed="13"/>
        </patternFill>
      </fill>
    </dxf>
    <dxf>
      <fill>
        <patternFill>
          <bgColor rgb="FF00B050"/>
        </patternFill>
      </fill>
    </dxf>
    <dxf>
      <fill>
        <patternFill>
          <bgColor rgb="FFFFC000"/>
        </patternFill>
      </fill>
    </dxf>
    <dxf>
      <fill>
        <patternFill>
          <bgColor indexed="10"/>
        </patternFill>
      </fill>
    </dxf>
    <dxf>
      <fill>
        <patternFill>
          <bgColor indexed="50"/>
        </patternFill>
      </fill>
    </dxf>
    <dxf>
      <fill>
        <patternFill>
          <bgColor indexed="50"/>
        </patternFill>
      </fill>
    </dxf>
    <dxf>
      <fill>
        <patternFill>
          <bgColor indexed="13"/>
        </patternFill>
      </fill>
    </dxf>
    <dxf>
      <fill>
        <patternFill>
          <bgColor indexed="10"/>
        </patternFill>
      </fill>
    </dxf>
    <dxf>
      <fill>
        <patternFill>
          <bgColor rgb="FF00B050"/>
        </patternFill>
      </fill>
    </dxf>
    <dxf>
      <fill>
        <patternFill>
          <bgColor rgb="FF00B050"/>
        </patternFill>
      </fill>
    </dxf>
    <dxf>
      <fill>
        <patternFill>
          <bgColor indexed="13"/>
        </patternFill>
      </fill>
    </dxf>
    <dxf>
      <fill>
        <patternFill>
          <bgColor indexed="50"/>
        </patternFill>
      </fill>
    </dxf>
    <dxf>
      <fill>
        <patternFill>
          <bgColor indexed="10"/>
        </patternFill>
      </fill>
    </dxf>
    <dxf>
      <fill>
        <patternFill>
          <bgColor indexed="50"/>
        </patternFill>
      </fill>
    </dxf>
    <dxf>
      <fill>
        <patternFill>
          <bgColor indexed="13"/>
        </patternFill>
      </fill>
    </dxf>
    <dxf>
      <fill>
        <patternFill>
          <bgColor indexed="10"/>
        </patternFill>
      </fill>
    </dxf>
    <dxf>
      <fill>
        <patternFill>
          <bgColor rgb="FF00B05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00B050"/>
        </patternFill>
      </fill>
    </dxf>
    <dxf>
      <fill>
        <patternFill>
          <bgColor rgb="FFFFC000"/>
        </patternFill>
      </fill>
    </dxf>
    <dxf>
      <fill>
        <patternFill>
          <bgColor rgb="FF00B050"/>
        </patternFill>
      </fill>
    </dxf>
    <dxf>
      <fill>
        <patternFill>
          <bgColor rgb="FFFFFF00"/>
        </patternFill>
      </fill>
    </dxf>
    <dxf>
      <fill>
        <patternFill>
          <bgColor rgb="FFFF0000"/>
        </patternFill>
      </fill>
    </dxf>
    <dxf>
      <fill>
        <patternFill>
          <bgColor rgb="FFFFC000"/>
        </patternFill>
      </fill>
    </dxf>
    <dxf>
      <fill>
        <patternFill>
          <bgColor rgb="FF92D05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92D050"/>
        </patternFill>
      </fill>
    </dxf>
    <dxf>
      <fill>
        <patternFill>
          <bgColor rgb="FFFF0000"/>
        </patternFill>
      </fill>
    </dxf>
    <dxf>
      <fill>
        <patternFill>
          <bgColor rgb="FFFFFF00"/>
        </patternFill>
      </fill>
    </dxf>
    <dxf>
      <fill>
        <patternFill>
          <bgColor rgb="FFFFC000"/>
        </patternFill>
      </fill>
    </dxf>
    <dxf>
      <fill>
        <patternFill>
          <bgColor rgb="FF00B05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rgb="FFFFC000"/>
        </patternFill>
      </fill>
    </dxf>
    <dxf>
      <fill>
        <patternFill>
          <bgColor rgb="FFFFC000"/>
        </patternFill>
      </fill>
    </dxf>
    <dxf>
      <fill>
        <patternFill>
          <bgColor rgb="FF00B050"/>
        </patternFill>
      </fill>
    </dxf>
    <dxf>
      <fill>
        <patternFill>
          <bgColor rgb="FF92D050"/>
        </patternFill>
      </fill>
    </dxf>
    <dxf>
      <fill>
        <patternFill>
          <bgColor rgb="FFFFFF00"/>
        </patternFill>
      </fill>
    </dxf>
    <dxf>
      <fill>
        <patternFill>
          <bgColor rgb="FFFF0000"/>
        </patternFill>
      </fill>
    </dxf>
    <dxf>
      <fill>
        <patternFill>
          <bgColor rgb="FFFFC000"/>
        </patternFill>
      </fill>
    </dxf>
    <dxf>
      <fill>
        <patternFill>
          <bgColor rgb="FF00B050"/>
        </patternFill>
      </fill>
    </dxf>
    <dxf>
      <fill>
        <patternFill>
          <bgColor rgb="FF92D050"/>
        </patternFill>
      </fill>
    </dxf>
    <dxf>
      <fill>
        <patternFill>
          <bgColor rgb="FFFFFF00"/>
        </patternFill>
      </fill>
    </dxf>
    <dxf>
      <fill>
        <patternFill>
          <bgColor rgb="FFFF0000"/>
        </patternFill>
      </fill>
    </dxf>
    <dxf>
      <font>
        <condense val="0"/>
        <extend val="0"/>
        <color indexed="51"/>
      </font>
      <fill>
        <patternFill>
          <bgColor indexed="52"/>
        </patternFill>
      </fill>
    </dxf>
    <dxf>
      <font>
        <condense val="0"/>
        <extend val="0"/>
        <color indexed="42"/>
      </font>
      <fill>
        <patternFill>
          <bgColor indexed="42"/>
        </patternFill>
      </fill>
    </dxf>
    <dxf>
      <font>
        <condense val="0"/>
        <extend val="0"/>
        <color indexed="13"/>
      </font>
      <fill>
        <patternFill>
          <bgColor indexed="13"/>
        </patternFill>
      </fill>
    </dxf>
    <dxf>
      <font>
        <condense val="0"/>
        <extend val="0"/>
        <color rgb="FFFFCC00"/>
      </font>
      <fill>
        <patternFill>
          <bgColor rgb="FFFF9900"/>
        </patternFill>
      </fill>
    </dxf>
    <dxf>
      <font>
        <condense val="0"/>
        <extend val="0"/>
        <color rgb="FFFFFF00"/>
      </font>
      <fill>
        <patternFill>
          <bgColor rgb="FFFFFF00"/>
        </patternFill>
      </fill>
    </dxf>
    <dxf>
      <font>
        <condense val="0"/>
        <extend val="0"/>
        <color rgb="FFCCFFCC"/>
      </font>
      <fill>
        <patternFill>
          <bgColor rgb="FFCCFFCC"/>
        </patternFill>
      </fill>
    </dxf>
    <dxf>
      <font>
        <condense val="0"/>
        <extend val="0"/>
        <color indexed="13"/>
      </font>
      <fill>
        <patternFill>
          <bgColor indexed="13"/>
        </patternFill>
      </fill>
    </dxf>
    <dxf>
      <font>
        <condense val="0"/>
        <extend val="0"/>
        <color indexed="42"/>
      </font>
      <fill>
        <patternFill>
          <bgColor indexed="42"/>
        </patternFill>
      </fill>
    </dxf>
    <dxf>
      <font>
        <condense val="0"/>
        <extend val="0"/>
        <color indexed="51"/>
      </font>
      <fill>
        <patternFill>
          <bgColor indexed="5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colaboracionbe/Configuraciones%20y%20Documentos/itapia2/Mis%20documentos/ITR/Gestionar%20Compras/Ficha%20Integral%20RO_A&#241;o%20201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Configuraciones%20y%20Documentos/itapia2/Mis%20documentos/ITR/Gestionar%20Compras/Ficha%20Integral%20RO_A&#241;o%202015.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rv_recursos\Publico5\BANCO\ultima%20matriz%20no%20modificar\Matriz%20de%20Riesgos%20Proveer%20Postventa%20de%20Ahorro%20c%20ultimos%20cambios%20(V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B°"/>
      <sheetName val="Matriz"/>
      <sheetName val="Escalas"/>
      <sheetName val="Listas Desplegables"/>
    </sheetNames>
    <sheetDataSet>
      <sheetData sheetId="0" refreshError="1"/>
      <sheetData sheetId="1" refreshError="1"/>
      <sheetData sheetId="2"/>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B°"/>
      <sheetName val="Matriz"/>
      <sheetName val="Escalas"/>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cesos"/>
      <sheetName val="Factor control Activ"/>
      <sheetName val="Riesgos Proceso PostVenta"/>
      <sheetName val="c box ev fact"/>
    </sheetNames>
    <sheetDataSet>
      <sheetData sheetId="0"/>
      <sheetData sheetId="1"/>
      <sheetData sheetId="2"/>
      <sheetData sheetId="3">
        <row r="2">
          <cell r="G2" t="str">
            <v>MPA - Realizar Mantención Producto Ahorro</v>
          </cell>
        </row>
        <row r="3">
          <cell r="G3" t="str">
            <v>ADP - Administrar Datos Producto y Datos Cliente</v>
          </cell>
        </row>
        <row r="4">
          <cell r="G4" t="str">
            <v>ACP - Administrar Cobros y Pagos de Ahorro</v>
          </cell>
        </row>
        <row r="5">
          <cell r="G5" t="str">
            <v>ACP - Administrar Cobros y Pagos de Ahorro/TCA - Terminar Contrato de Ahorro/MPA - Realizar Mantención Producto Ahorro</v>
          </cell>
        </row>
        <row r="6">
          <cell r="G6" t="str">
            <v>ACP - Administrar Cobros y Pagos de Ahorro/TCA - Terminar Contrato de Ahorro/ADP - Administrar Datos Producto y Datos Cliente</v>
          </cell>
        </row>
        <row r="7">
          <cell r="G7" t="str">
            <v>ACP - Administrar Cobros y Pagos de Ahorro/TCA - Terminar Contrato de Ahorro/Administrar Cobros y Pagos de Ahorro.</v>
          </cell>
        </row>
        <row r="8">
          <cell r="G8" t="str">
            <v>TCA - Terminar Contrato de Ahorro</v>
          </cell>
        </row>
        <row r="9">
          <cell r="G9" t="str">
            <v>Todos</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pageSetUpPr fitToPage="1"/>
  </sheetPr>
  <dimension ref="B2:E9"/>
  <sheetViews>
    <sheetView showGridLines="0" tabSelected="1" zoomScaleNormal="100" workbookViewId="0">
      <selection activeCell="E7" sqref="E7"/>
    </sheetView>
  </sheetViews>
  <sheetFormatPr baseColWidth="10" defaultRowHeight="12.75" x14ac:dyDescent="0.2"/>
  <cols>
    <col min="2" max="2" width="28.28515625" bestFit="1" customWidth="1"/>
    <col min="3" max="3" width="24.140625" bestFit="1" customWidth="1"/>
    <col min="4" max="4" width="42" customWidth="1"/>
    <col min="5" max="5" width="57.140625" customWidth="1"/>
  </cols>
  <sheetData>
    <row r="2" spans="2:5" ht="15.75" x14ac:dyDescent="0.2">
      <c r="B2" s="85" t="s">
        <v>36</v>
      </c>
      <c r="C2" s="85"/>
      <c r="D2" s="85"/>
      <c r="E2" s="85"/>
    </row>
    <row r="3" spans="2:5" x14ac:dyDescent="0.2">
      <c r="B3" s="74"/>
      <c r="C3" s="74"/>
      <c r="D3" s="74"/>
      <c r="E3" s="74"/>
    </row>
    <row r="4" spans="2:5" ht="28.5" customHeight="1" x14ac:dyDescent="0.2">
      <c r="B4" s="86" t="s">
        <v>37</v>
      </c>
      <c r="C4" s="87"/>
      <c r="D4" s="88" t="s">
        <v>96</v>
      </c>
      <c r="E4" s="89"/>
    </row>
    <row r="5" spans="2:5" x14ac:dyDescent="0.2">
      <c r="B5" s="74"/>
      <c r="C5" s="74"/>
      <c r="D5" s="74"/>
      <c r="E5" s="74"/>
    </row>
    <row r="6" spans="2:5" ht="15.75" x14ac:dyDescent="0.2">
      <c r="B6" s="19" t="s">
        <v>38</v>
      </c>
      <c r="C6" s="19" t="s">
        <v>13</v>
      </c>
      <c r="D6" s="19" t="s">
        <v>19</v>
      </c>
      <c r="E6" s="19" t="s">
        <v>39</v>
      </c>
    </row>
    <row r="7" spans="2:5" ht="87" customHeight="1" x14ac:dyDescent="0.2">
      <c r="B7" s="81" t="s">
        <v>133</v>
      </c>
      <c r="C7" s="81" t="s">
        <v>103</v>
      </c>
      <c r="D7" s="21">
        <v>44277</v>
      </c>
      <c r="E7" s="20"/>
    </row>
    <row r="8" spans="2:5" ht="83.25" customHeight="1" x14ac:dyDescent="0.2">
      <c r="B8" s="81" t="s">
        <v>134</v>
      </c>
      <c r="C8" s="81" t="s">
        <v>197</v>
      </c>
      <c r="D8" s="21"/>
      <c r="E8" s="20"/>
    </row>
    <row r="9" spans="2:5" ht="91.5" customHeight="1" x14ac:dyDescent="0.2">
      <c r="B9" s="81" t="s">
        <v>135</v>
      </c>
      <c r="C9" s="81" t="s">
        <v>104</v>
      </c>
      <c r="D9" s="21"/>
      <c r="E9" s="20"/>
    </row>
  </sheetData>
  <mergeCells count="3">
    <mergeCell ref="B2:E2"/>
    <mergeCell ref="B4:C4"/>
    <mergeCell ref="D4:E4"/>
  </mergeCells>
  <pageMargins left="0.70866141732283472" right="0.70866141732283472" top="0.74803149606299213" bottom="0.74803149606299213" header="0.31496062992125984" footer="0.31496062992125984"/>
  <pageSetup scale="82" orientation="landscape" horizontalDpi="4294967294" verticalDpi="4294967294"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0"/>
  <sheetViews>
    <sheetView showGridLines="0" zoomScale="60" zoomScaleNormal="60" workbookViewId="0">
      <selection activeCell="B3" sqref="B3:D3"/>
    </sheetView>
  </sheetViews>
  <sheetFormatPr baseColWidth="10" defaultRowHeight="12.75" x14ac:dyDescent="0.2"/>
  <cols>
    <col min="1" max="1" width="36.42578125" customWidth="1"/>
    <col min="2" max="2" width="82.7109375" customWidth="1"/>
    <col min="3" max="3" width="22.5703125" customWidth="1"/>
    <col min="4" max="4" width="74.5703125" customWidth="1"/>
  </cols>
  <sheetData>
    <row r="1" spans="1:4" ht="21" customHeight="1" x14ac:dyDescent="0.2"/>
    <row r="2" spans="1:4" ht="21" customHeight="1" thickBot="1" x14ac:dyDescent="0.25"/>
    <row r="3" spans="1:4" ht="45" customHeight="1" thickBot="1" x14ac:dyDescent="0.25">
      <c r="A3" s="4" t="s">
        <v>43</v>
      </c>
      <c r="B3" s="90" t="s">
        <v>41</v>
      </c>
      <c r="C3" s="91"/>
      <c r="D3" s="92"/>
    </row>
    <row r="4" spans="1:4" ht="21" customHeight="1" x14ac:dyDescent="0.2"/>
    <row r="5" spans="1:4" ht="21" customHeight="1" x14ac:dyDescent="0.2"/>
    <row r="6" spans="1:4" ht="21" customHeight="1" thickBot="1" x14ac:dyDescent="0.25"/>
    <row r="7" spans="1:4" ht="69" customHeight="1" thickBot="1" x14ac:dyDescent="0.25">
      <c r="A7" s="4" t="s">
        <v>42</v>
      </c>
      <c r="B7" s="90" t="s">
        <v>32</v>
      </c>
      <c r="C7" s="91"/>
      <c r="D7" s="92"/>
    </row>
    <row r="8" spans="1:4" ht="36.75" thickBot="1" x14ac:dyDescent="0.25">
      <c r="B8" s="9" t="s">
        <v>20</v>
      </c>
      <c r="C8" s="10" t="s">
        <v>21</v>
      </c>
      <c r="D8" s="11" t="s">
        <v>22</v>
      </c>
    </row>
    <row r="9" spans="1:4" ht="18" x14ac:dyDescent="0.2">
      <c r="B9" s="5" t="s">
        <v>23</v>
      </c>
      <c r="C9" s="7" t="s">
        <v>29</v>
      </c>
      <c r="D9" s="1"/>
    </row>
    <row r="10" spans="1:4" ht="18" x14ac:dyDescent="0.2">
      <c r="B10" s="6" t="s">
        <v>24</v>
      </c>
      <c r="C10" s="7" t="s">
        <v>29</v>
      </c>
      <c r="D10" s="2"/>
    </row>
    <row r="11" spans="1:4" ht="18" x14ac:dyDescent="0.2">
      <c r="B11" s="6" t="s">
        <v>40</v>
      </c>
      <c r="C11" s="7" t="s">
        <v>29</v>
      </c>
      <c r="D11" s="2"/>
    </row>
    <row r="12" spans="1:4" ht="18" x14ac:dyDescent="0.2">
      <c r="B12" s="6" t="s">
        <v>33</v>
      </c>
      <c r="C12" s="7" t="s">
        <v>29</v>
      </c>
      <c r="D12" s="2"/>
    </row>
    <row r="13" spans="1:4" ht="18" x14ac:dyDescent="0.2">
      <c r="B13" s="6" t="s">
        <v>34</v>
      </c>
      <c r="C13" s="7" t="s">
        <v>29</v>
      </c>
      <c r="D13" s="2"/>
    </row>
    <row r="14" spans="1:4" ht="18" x14ac:dyDescent="0.2">
      <c r="B14" s="6" t="s">
        <v>25</v>
      </c>
      <c r="C14" s="7" t="s">
        <v>29</v>
      </c>
      <c r="D14" s="2"/>
    </row>
    <row r="15" spans="1:4" ht="18" x14ac:dyDescent="0.2">
      <c r="B15" s="6" t="s">
        <v>26</v>
      </c>
      <c r="C15" s="7" t="s">
        <v>29</v>
      </c>
      <c r="D15" s="2"/>
    </row>
    <row r="16" spans="1:4" ht="18" x14ac:dyDescent="0.2">
      <c r="B16" s="6" t="s">
        <v>27</v>
      </c>
      <c r="C16" s="7" t="s">
        <v>29</v>
      </c>
      <c r="D16" s="2"/>
    </row>
    <row r="17" spans="2:4" ht="18" x14ac:dyDescent="0.2">
      <c r="B17" s="8" t="s">
        <v>28</v>
      </c>
      <c r="C17" s="7" t="s">
        <v>29</v>
      </c>
      <c r="D17" s="3"/>
    </row>
    <row r="18" spans="2:4" ht="47.25" customHeight="1" thickBot="1" x14ac:dyDescent="0.25">
      <c r="B18" s="94" t="s">
        <v>44</v>
      </c>
      <c r="C18" s="95"/>
      <c r="D18" s="96"/>
    </row>
    <row r="20" spans="2:4" ht="15" x14ac:dyDescent="0.2">
      <c r="B20" s="93"/>
      <c r="C20" s="93"/>
      <c r="D20" s="93"/>
    </row>
  </sheetData>
  <mergeCells count="4">
    <mergeCell ref="B3:D3"/>
    <mergeCell ref="B7:D7"/>
    <mergeCell ref="B20:D20"/>
    <mergeCell ref="B18:D18"/>
  </mergeCells>
  <phoneticPr fontId="8"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X37"/>
  <sheetViews>
    <sheetView showGridLines="0" topLeftCell="G1" zoomScale="70" zoomScaleNormal="70" workbookViewId="0">
      <pane ySplit="3" topLeftCell="A4" activePane="bottomLeft" state="frozen"/>
      <selection pane="bottomLeft" activeCell="T4" sqref="T4"/>
    </sheetView>
  </sheetViews>
  <sheetFormatPr baseColWidth="10" defaultColWidth="24" defaultRowHeight="12.75" x14ac:dyDescent="0.2"/>
  <cols>
    <col min="1" max="1" width="1.28515625" style="12" customWidth="1"/>
    <col min="2" max="2" width="3.5703125" style="12" customWidth="1"/>
    <col min="3" max="3" width="48.28515625" style="12" hidden="1" customWidth="1"/>
    <col min="4" max="4" width="16.7109375" style="12" hidden="1" customWidth="1"/>
    <col min="5" max="5" width="60" style="12" bestFit="1" customWidth="1"/>
    <col min="6" max="6" width="56.42578125" style="12" bestFit="1" customWidth="1"/>
    <col min="7" max="7" width="41.85546875" style="12" customWidth="1"/>
    <col min="8" max="8" width="10.140625" style="12" bestFit="1" customWidth="1"/>
    <col min="9" max="9" width="14.42578125" style="12" bestFit="1" customWidth="1"/>
    <col min="10" max="10" width="17" style="12" customWidth="1"/>
    <col min="11" max="11" width="26.7109375" style="12" customWidth="1"/>
    <col min="12" max="12" width="17.7109375" style="12" customWidth="1"/>
    <col min="13" max="13" width="23.5703125" style="12" customWidth="1"/>
    <col min="14" max="14" width="25.28515625" style="12" bestFit="1" customWidth="1"/>
    <col min="15" max="15" width="19.140625" style="13" customWidth="1"/>
    <col min="16" max="16" width="9.42578125" style="13" customWidth="1"/>
    <col min="17" max="17" width="12.85546875" style="12" customWidth="1"/>
    <col min="18" max="18" width="13" style="12" customWidth="1"/>
    <col min="19" max="19" width="10.7109375" style="12" customWidth="1"/>
    <col min="20" max="20" width="11.42578125" style="12" customWidth="1"/>
    <col min="21" max="21" width="16" style="12" customWidth="1"/>
    <col min="22" max="22" width="28.7109375" style="12" customWidth="1"/>
    <col min="23" max="23" width="21.42578125" style="12" customWidth="1"/>
    <col min="24" max="24" width="24" style="12" customWidth="1"/>
    <col min="25" max="16384" width="24" style="12"/>
  </cols>
  <sheetData>
    <row r="1" spans="2:24" x14ac:dyDescent="0.2">
      <c r="B1" s="22"/>
      <c r="C1" s="97" t="s">
        <v>206</v>
      </c>
      <c r="D1" s="97"/>
      <c r="E1" s="97"/>
      <c r="F1" s="97"/>
      <c r="G1" s="97"/>
      <c r="H1" s="22"/>
      <c r="I1" s="22"/>
      <c r="J1" s="22"/>
      <c r="K1" s="22"/>
      <c r="L1" s="22"/>
      <c r="M1" s="22"/>
      <c r="N1" s="22"/>
      <c r="O1" s="23"/>
      <c r="P1" s="23"/>
      <c r="Q1" s="22"/>
      <c r="R1" s="22"/>
      <c r="S1" s="22"/>
      <c r="T1" s="22"/>
      <c r="U1" s="22"/>
      <c r="V1" s="22"/>
    </row>
    <row r="2" spans="2:24" x14ac:dyDescent="0.2">
      <c r="B2" s="22"/>
      <c r="C2" s="97" t="s">
        <v>107</v>
      </c>
      <c r="D2" s="97"/>
      <c r="E2" s="97"/>
      <c r="F2" s="97"/>
      <c r="G2" s="97"/>
      <c r="H2" s="98" t="s">
        <v>106</v>
      </c>
      <c r="I2" s="98"/>
      <c r="J2" s="22"/>
      <c r="K2" s="22"/>
      <c r="L2" s="22"/>
      <c r="M2" s="22"/>
      <c r="N2" s="22"/>
      <c r="O2" s="23"/>
      <c r="P2" s="23"/>
      <c r="Q2" s="22"/>
      <c r="R2" s="22"/>
      <c r="S2" s="22"/>
      <c r="T2" s="22"/>
      <c r="U2" s="22"/>
      <c r="V2" s="22"/>
    </row>
    <row r="3" spans="2:24" ht="38.25" x14ac:dyDescent="0.2">
      <c r="B3" s="24" t="s">
        <v>6</v>
      </c>
      <c r="C3" s="46" t="s">
        <v>35</v>
      </c>
      <c r="D3" s="46" t="s">
        <v>0</v>
      </c>
      <c r="E3" s="46" t="s">
        <v>1</v>
      </c>
      <c r="F3" s="46" t="s">
        <v>2</v>
      </c>
      <c r="G3" s="46" t="s">
        <v>3</v>
      </c>
      <c r="H3" s="25" t="s">
        <v>18</v>
      </c>
      <c r="I3" s="25" t="s">
        <v>51</v>
      </c>
      <c r="J3" s="24" t="s">
        <v>5</v>
      </c>
      <c r="K3" s="24" t="s">
        <v>67</v>
      </c>
      <c r="L3" s="127" t="s">
        <v>4</v>
      </c>
      <c r="M3" s="127" t="s">
        <v>5</v>
      </c>
      <c r="N3" s="127" t="s">
        <v>68</v>
      </c>
      <c r="O3" s="24" t="s">
        <v>11</v>
      </c>
      <c r="P3" s="24" t="s">
        <v>12</v>
      </c>
      <c r="Q3" s="24" t="s">
        <v>9</v>
      </c>
      <c r="R3" s="24" t="s">
        <v>10</v>
      </c>
      <c r="S3" s="24" t="s">
        <v>116</v>
      </c>
      <c r="T3" s="24" t="s">
        <v>117</v>
      </c>
      <c r="U3" s="24" t="s">
        <v>132</v>
      </c>
      <c r="V3" s="24" t="s">
        <v>66</v>
      </c>
      <c r="W3" s="24" t="s">
        <v>154</v>
      </c>
      <c r="X3" s="24" t="s">
        <v>210</v>
      </c>
    </row>
    <row r="4" spans="2:24" ht="203.25" customHeight="1" x14ac:dyDescent="0.2">
      <c r="B4" s="26">
        <v>1</v>
      </c>
      <c r="C4" s="80" t="s">
        <v>183</v>
      </c>
      <c r="D4" s="28" t="s">
        <v>7</v>
      </c>
      <c r="E4" s="28" t="s">
        <v>223</v>
      </c>
      <c r="F4" s="29" t="s">
        <v>224</v>
      </c>
      <c r="G4" s="47" t="s">
        <v>176</v>
      </c>
      <c r="H4" s="31" t="s">
        <v>49</v>
      </c>
      <c r="I4" s="32" t="s">
        <v>69</v>
      </c>
      <c r="J4" s="33" t="s">
        <v>8</v>
      </c>
      <c r="K4" s="32" t="s">
        <v>95</v>
      </c>
      <c r="L4" s="34">
        <f t="shared" ref="L4:N5" si="0">VALUE(MID(I4,1,1))</f>
        <v>5</v>
      </c>
      <c r="M4" s="34">
        <f t="shared" si="0"/>
        <v>2</v>
      </c>
      <c r="N4" s="34">
        <f t="shared" si="0"/>
        <v>2</v>
      </c>
      <c r="O4" s="35">
        <f>IF(AND(L4=5,M4=1),10,L4*M4)</f>
        <v>10</v>
      </c>
      <c r="P4" s="35">
        <f>O4/N4</f>
        <v>5</v>
      </c>
      <c r="Q4" s="36" t="str">
        <f t="shared" ref="Q4" si="1">IF(O4&lt;=2.99,"Bajo",IF(O4&lt;=4.99,"Medio bajo",IF(O4&lt;=9.99,"Medio",IF(O4&lt;=14.99,"Medio alto","Alto"))))</f>
        <v>Medio alto</v>
      </c>
      <c r="R4" s="36" t="str">
        <f>IF(P4&lt;=2.99,"Bajo",IF(P4&lt;=4.99,"Medio bajo",IF(P4&lt;=9.99,"Medio",IF(P4&lt;=14.99,"Medio alto","Alto"))))</f>
        <v>Medio</v>
      </c>
      <c r="S4" s="56">
        <v>0.01</v>
      </c>
      <c r="T4" s="73">
        <f>(O4/N4)/S4</f>
        <v>500</v>
      </c>
      <c r="U4" s="36" t="str">
        <f>IF(T4&lt;=2.99,"Bajo",IF(T4&lt;=4.99,"Medio bajo",IF(T4&lt;=9.99,"Medio",IF(T4&lt;=14.99,"Medio alto","Alto"))))</f>
        <v>Alto</v>
      </c>
      <c r="V4" s="36" t="str">
        <f t="shared" ref="V4" si="2">IF(U4="Alto","Se debe crear o modificar un Plan de Continuidad, o bien, si el plan de continuidad existe y no se ha probado se debe concretar una prueba.",IF(AND(U4="Medio Alto"),"Se debe crear o modificar un Plan de Continuidad, o bien, si el plan de continuidad existe y no se ha probado se debe concretar una prueba.",IF(AND(U4="Medio"),"No se requiere actualizar o construir un plan de continuidad, se debe mantener el plan de pruebas.",IF(AND(U4="Medio Bajo"),"No se requiere actualizar o construir un plan de continuidad, se debe mantener el plan de pruebas.",IF(AND(U4="Bajo"),"No se requiere actualizar o construir un plan de continuidad, se debe mantener el plan de pruebas.")))))</f>
        <v>Se debe crear o modificar un Plan de Continuidad, o bien, si el plan de continuidad existe y no se ha probado se debe concretar una prueba.</v>
      </c>
      <c r="W4" s="79" t="s">
        <v>182</v>
      </c>
      <c r="X4" s="83" t="s">
        <v>211</v>
      </c>
    </row>
    <row r="5" spans="2:24" ht="182.25" customHeight="1" x14ac:dyDescent="0.2">
      <c r="B5" s="26">
        <v>2</v>
      </c>
      <c r="C5" s="80" t="s">
        <v>183</v>
      </c>
      <c r="D5" s="28" t="s">
        <v>7</v>
      </c>
      <c r="E5" s="28" t="s">
        <v>248</v>
      </c>
      <c r="F5" s="29" t="s">
        <v>247</v>
      </c>
      <c r="G5" s="47" t="s">
        <v>225</v>
      </c>
      <c r="H5" s="31" t="s">
        <v>49</v>
      </c>
      <c r="I5" s="32" t="s">
        <v>69</v>
      </c>
      <c r="J5" s="33" t="s">
        <v>8</v>
      </c>
      <c r="K5" s="32" t="s">
        <v>95</v>
      </c>
      <c r="L5" s="34">
        <f t="shared" si="0"/>
        <v>5</v>
      </c>
      <c r="M5" s="34">
        <f t="shared" si="0"/>
        <v>2</v>
      </c>
      <c r="N5" s="34">
        <f t="shared" si="0"/>
        <v>2</v>
      </c>
      <c r="O5" s="35">
        <f t="shared" ref="O5" si="3">IF(AND(L5=5,M5=1),10,L5*M5)</f>
        <v>10</v>
      </c>
      <c r="P5" s="35">
        <f t="shared" ref="P5" si="4">O5/N5</f>
        <v>5</v>
      </c>
      <c r="Q5" s="36" t="str">
        <f>IF(O5&lt;=2.99,"Bajo",IF(O5&lt;=4.99,"Medio Bajo",IF(O5&lt;=9.99,"Medio",IF(O5&lt;=14.99,"Medio Alto","Alto"))))</f>
        <v>Medio Alto</v>
      </c>
      <c r="R5" s="36" t="str">
        <f>IF(P5&lt;=2.99,"Bajo",IF(P5&lt;=4.99,"Medio Bajo",IF(P5&lt;=9.99,"Medio",IF(P5&lt;=14.99,"Medio Alto","Alto"))))</f>
        <v>Medio</v>
      </c>
      <c r="S5" s="56">
        <v>0.01</v>
      </c>
      <c r="T5" s="73">
        <f t="shared" ref="T5" si="5">IF(((O5/N5)/S5)&gt;O5,O5,(O5/N5)/S5)</f>
        <v>10</v>
      </c>
      <c r="U5" s="36" t="str">
        <f>IF(T5&lt;=2.99,"Bajo",IF(T5&lt;=4.99,"Medio Bajo",IF(T5&lt;=9.99,"Medio",IF(T5&lt;=14.99,"Medio Alto","Alto"))))</f>
        <v>Medio Alto</v>
      </c>
      <c r="V5" s="36" t="str">
        <f>IF(U5="Alto","Se debe crear o modificar un Plan de Continuidad, o bien, si el plan de continuidad existe y no se ha probado se debe concretar una prueba.",IF(AND(U5="Medio Alto"),"Se debe crear o modificar un Plan de Continuidad, o bien, si el plan de continuidad existe y no se ha probado se debe concretar una prueba.",IF(AND(U5="Medio"),"No se requiere actualizar o construir un plan de continuidad, se debe mantener el plan de pruebas.",IF(AND(U5="Medio Bajo"),"No se requiere actualizar o construir un plan de continuidad, se debe mantener el plan de pruebas.",IF(AND(U5="Bajo"),"No se requiere actualizar o construir un plan de continuidad, se debe mantener el plan de pruebas.")))))</f>
        <v>Se debe crear o modificar un Plan de Continuidad, o bien, si el plan de continuidad existe y no se ha probado se debe concretar una prueba.</v>
      </c>
      <c r="W5" s="36" t="s">
        <v>249</v>
      </c>
      <c r="X5" s="83" t="s">
        <v>211</v>
      </c>
    </row>
    <row r="6" spans="2:24" ht="111" customHeight="1" x14ac:dyDescent="0.2">
      <c r="B6" s="26">
        <v>3</v>
      </c>
      <c r="C6" s="80" t="s">
        <v>183</v>
      </c>
      <c r="D6" s="28" t="s">
        <v>7</v>
      </c>
      <c r="E6" s="28" t="s">
        <v>138</v>
      </c>
      <c r="F6" s="29" t="s">
        <v>174</v>
      </c>
      <c r="G6" s="47" t="s">
        <v>178</v>
      </c>
      <c r="H6" s="105" t="s">
        <v>177</v>
      </c>
      <c r="I6" s="106"/>
      <c r="J6" s="106"/>
      <c r="K6" s="106"/>
      <c r="L6" s="106"/>
      <c r="M6" s="106"/>
      <c r="N6" s="106"/>
      <c r="O6" s="106"/>
      <c r="P6" s="106"/>
      <c r="Q6" s="106"/>
      <c r="R6" s="106"/>
      <c r="S6" s="106"/>
      <c r="T6" s="106"/>
      <c r="U6" s="106"/>
      <c r="V6" s="106"/>
      <c r="W6" s="79" t="s">
        <v>209</v>
      </c>
      <c r="X6" s="84" t="s">
        <v>209</v>
      </c>
    </row>
    <row r="7" spans="2:24" ht="113.25" customHeight="1" x14ac:dyDescent="0.2">
      <c r="B7" s="26">
        <v>4</v>
      </c>
      <c r="C7" s="80" t="s">
        <v>183</v>
      </c>
      <c r="D7" s="28" t="s">
        <v>7</v>
      </c>
      <c r="E7" s="28" t="s">
        <v>138</v>
      </c>
      <c r="F7" s="29" t="s">
        <v>172</v>
      </c>
      <c r="G7" s="78" t="s">
        <v>173</v>
      </c>
      <c r="H7" s="31" t="s">
        <v>49</v>
      </c>
      <c r="I7" s="32" t="s">
        <v>69</v>
      </c>
      <c r="J7" s="33" t="s">
        <v>125</v>
      </c>
      <c r="K7" s="32" t="s">
        <v>108</v>
      </c>
      <c r="L7" s="34">
        <f t="shared" ref="L7" si="6">VALUE(MID(I7,1,1))</f>
        <v>5</v>
      </c>
      <c r="M7" s="34">
        <f t="shared" ref="M7" si="7">VALUE(MID(J7,1,1))</f>
        <v>3</v>
      </c>
      <c r="N7" s="34">
        <f t="shared" ref="N7" si="8">VALUE(MID(K7,1,1))</f>
        <v>5</v>
      </c>
      <c r="O7" s="35">
        <f t="shared" ref="O7" si="9">IF(AND(L7=5,M7=1),10,L7*M7)</f>
        <v>15</v>
      </c>
      <c r="P7" s="35">
        <f t="shared" ref="P7" si="10">O7/N7</f>
        <v>3</v>
      </c>
      <c r="Q7" s="36" t="str">
        <f t="shared" ref="Q7" si="11">IF(O7&lt;=2.99,"Bajo",IF(O7&lt;=4.99,"Medio bajo",IF(O7&lt;=9.99,"Medio",IF(O7&lt;=14.99,"Medio alto","Alto"))))</f>
        <v>Alto</v>
      </c>
      <c r="R7" s="36" t="str">
        <f t="shared" ref="R7" si="12">IF(P7&lt;=2.99,"Bajo",IF(P7&lt;=4.99,"Medio bajo",IF(P7&lt;=9.99,"Medio",IF(P7&lt;=14.99,"Medio alto","Alto"))))</f>
        <v>Medio bajo</v>
      </c>
      <c r="S7" s="56">
        <v>1</v>
      </c>
      <c r="T7" s="73">
        <f t="shared" ref="T7" si="13">(O7/N7)/S7</f>
        <v>3</v>
      </c>
      <c r="U7" s="36" t="str">
        <f t="shared" ref="U7" si="14">IF(T7&lt;=2.99,"Bajo",IF(T7&lt;=4.99,"Medio bajo",IF(T7&lt;=9.99,"Medio",IF(T7&lt;=14.99,"Medio alto","Alto"))))</f>
        <v>Medio bajo</v>
      </c>
      <c r="V7" s="79" t="str">
        <f t="shared" ref="V7" si="15">IF(U7="Alto","Se debe crear o modificar un Plan de Continuidad, o bien, si el plan de continuidad existe y no se ha probado se debe concretar una prueba.",IF(AND(U7="Medio Alto"),"Se debe crear o modificar un Plan de Continuidad, o bien, si el plan de continuidad existe y no se ha probado se debe concretar una prueba.",IF(AND(U7="Medio"),"No se requiere actualizar o construir un plan de continuidad, se debe mantener el plan de pruebas.",IF(AND(U7="Medio Bajo"),"No se requiere actualizar o construir un plan de continuidad, se debe mantener el plan de pruebas.",IF(AND(U7="Bajo"),"No se requiere actualizar o construir un plan de continuidad, se debe mantener el plan de pruebas.")))))</f>
        <v>No se requiere actualizar o construir un plan de continuidad, se debe mantener el plan de pruebas.</v>
      </c>
      <c r="W7" s="79" t="s">
        <v>209</v>
      </c>
      <c r="X7" s="84" t="s">
        <v>209</v>
      </c>
    </row>
    <row r="8" spans="2:24" ht="120.75" customHeight="1" x14ac:dyDescent="0.2">
      <c r="B8" s="26">
        <v>5</v>
      </c>
      <c r="C8" s="80" t="s">
        <v>183</v>
      </c>
      <c r="D8" s="28" t="s">
        <v>7</v>
      </c>
      <c r="E8" s="28" t="s">
        <v>229</v>
      </c>
      <c r="F8" s="29" t="s">
        <v>228</v>
      </c>
      <c r="G8" s="78" t="s">
        <v>175</v>
      </c>
      <c r="H8" s="31" t="s">
        <v>49</v>
      </c>
      <c r="I8" s="32" t="s">
        <v>69</v>
      </c>
      <c r="J8" s="33" t="s">
        <v>125</v>
      </c>
      <c r="K8" s="32" t="s">
        <v>108</v>
      </c>
      <c r="L8" s="34">
        <f t="shared" ref="L8:L28" si="16">VALUE(MID(I8,1,1))</f>
        <v>5</v>
      </c>
      <c r="M8" s="34">
        <f t="shared" ref="M8:M28" si="17">VALUE(MID(J8,1,1))</f>
        <v>3</v>
      </c>
      <c r="N8" s="34">
        <f t="shared" ref="N8:N28" si="18">VALUE(MID(K8,1,1))</f>
        <v>5</v>
      </c>
      <c r="O8" s="35">
        <f t="shared" ref="O8:O28" si="19">IF(AND(L8=5,M8=1),10,L8*M8)</f>
        <v>15</v>
      </c>
      <c r="P8" s="35">
        <f t="shared" ref="P8:P28" si="20">O8/N8</f>
        <v>3</v>
      </c>
      <c r="Q8" s="36" t="str">
        <f t="shared" ref="Q8:Q28" si="21">IF(O8&lt;=2.99,"Bajo",IF(O8&lt;=4.99,"Medio bajo",IF(O8&lt;=9.99,"Medio",IF(O8&lt;=14.99,"Medio alto","Alto"))))</f>
        <v>Alto</v>
      </c>
      <c r="R8" s="36" t="str">
        <f t="shared" ref="R8:R28" si="22">IF(P8&lt;=2.99,"Bajo",IF(P8&lt;=4.99,"Medio bajo",IF(P8&lt;=9.99,"Medio",IF(P8&lt;=14.99,"Medio alto","Alto"))))</f>
        <v>Medio bajo</v>
      </c>
      <c r="S8" s="56">
        <v>1</v>
      </c>
      <c r="T8" s="73">
        <f t="shared" ref="T8:T14" si="23">(O8/N8)/S8</f>
        <v>3</v>
      </c>
      <c r="U8" s="36" t="str">
        <f t="shared" ref="U8:U11" si="24">IF(T8&lt;=2.99,"Bajo",IF(T8&lt;=4.99,"Medio bajo",IF(T8&lt;=9.99,"Medio",IF(T8&lt;=14.99,"Medio alto","Alto"))))</f>
        <v>Medio bajo</v>
      </c>
      <c r="V8" s="79" t="str">
        <f t="shared" ref="V8:V28" si="25">IF(U8="Alto","Se debe crear o modificar un Plan de Continuidad, o bien, si el plan de continuidad existe y no se ha probado se debe concretar una prueba.",IF(AND(U8="Medio Alto"),"Se debe crear o modificar un Plan de Continuidad, o bien, si el plan de continuidad existe y no se ha probado se debe concretar una prueba.",IF(AND(U8="Medio"),"No se requiere actualizar o construir un plan de continuidad, se debe mantener el plan de pruebas.",IF(AND(U8="Medio Bajo"),"No se requiere actualizar o construir un plan de continuidad, se debe mantener el plan de pruebas.",IF(AND(U8="Bajo"),"No se requiere actualizar o construir un plan de continuidad, se debe mantener el plan de pruebas.")))))</f>
        <v>No se requiere actualizar o construir un plan de continuidad, se debe mantener el plan de pruebas.</v>
      </c>
      <c r="W8" s="79" t="s">
        <v>209</v>
      </c>
      <c r="X8" s="84" t="s">
        <v>209</v>
      </c>
    </row>
    <row r="9" spans="2:24" ht="90" customHeight="1" x14ac:dyDescent="0.2">
      <c r="B9" s="26">
        <v>6</v>
      </c>
      <c r="C9" s="27" t="s">
        <v>185</v>
      </c>
      <c r="D9" s="28" t="s">
        <v>7</v>
      </c>
      <c r="E9" s="28" t="s">
        <v>139</v>
      </c>
      <c r="F9" s="29" t="s">
        <v>147</v>
      </c>
      <c r="G9" s="104" t="s">
        <v>179</v>
      </c>
      <c r="H9" s="104"/>
      <c r="I9" s="104"/>
      <c r="J9" s="104"/>
      <c r="K9" s="104"/>
      <c r="L9" s="104"/>
      <c r="M9" s="104"/>
      <c r="N9" s="104"/>
      <c r="O9" s="104"/>
      <c r="P9" s="104"/>
      <c r="Q9" s="104"/>
      <c r="R9" s="104"/>
      <c r="S9" s="104"/>
      <c r="T9" s="104"/>
      <c r="U9" s="104"/>
      <c r="V9" s="104"/>
      <c r="W9" s="79" t="s">
        <v>209</v>
      </c>
      <c r="X9" s="84" t="s">
        <v>209</v>
      </c>
    </row>
    <row r="10" spans="2:24" ht="101.25" customHeight="1" x14ac:dyDescent="0.2">
      <c r="B10" s="26">
        <v>7</v>
      </c>
      <c r="C10" s="27" t="s">
        <v>207</v>
      </c>
      <c r="D10" s="28" t="s">
        <v>7</v>
      </c>
      <c r="E10" s="28" t="s">
        <v>140</v>
      </c>
      <c r="F10" s="29" t="s">
        <v>136</v>
      </c>
      <c r="G10" s="47" t="s">
        <v>184</v>
      </c>
      <c r="H10" s="31" t="s">
        <v>49</v>
      </c>
      <c r="I10" s="32" t="s">
        <v>69</v>
      </c>
      <c r="J10" s="33" t="s">
        <v>8</v>
      </c>
      <c r="K10" s="32" t="s">
        <v>50</v>
      </c>
      <c r="L10" s="34">
        <f t="shared" ref="L10" si="26">VALUE(MID(I10,1,1))</f>
        <v>5</v>
      </c>
      <c r="M10" s="34">
        <f t="shared" ref="M10" si="27">VALUE(MID(J10,1,1))</f>
        <v>2</v>
      </c>
      <c r="N10" s="34">
        <f t="shared" ref="N10" si="28">VALUE(MID(K10,1,1))</f>
        <v>1</v>
      </c>
      <c r="O10" s="35">
        <f t="shared" ref="O10" si="29">IF(AND(L10=5,M10=1),10,L10*M10)</f>
        <v>10</v>
      </c>
      <c r="P10" s="35">
        <f t="shared" ref="P10" si="30">O10/N10</f>
        <v>10</v>
      </c>
      <c r="Q10" s="36" t="str">
        <f t="shared" ref="Q10" si="31">IF(O10&lt;=2.99,"Bajo",IF(O10&lt;=4.99,"Medio bajo",IF(O10&lt;=9.99,"Medio",IF(O10&lt;=14.99,"Medio alto","Alto"))))</f>
        <v>Medio alto</v>
      </c>
      <c r="R10" s="36" t="str">
        <f t="shared" ref="R10" si="32">IF(P10&lt;=2.99,"Bajo",IF(P10&lt;=4.99,"Medio bajo",IF(P10&lt;=9.99,"Medio",IF(P10&lt;=14.99,"Medio alto","Alto"))))</f>
        <v>Medio alto</v>
      </c>
      <c r="S10" s="56">
        <v>0.01</v>
      </c>
      <c r="T10" s="73">
        <f t="shared" ref="T10" si="33">(O10/N10)/S10</f>
        <v>1000</v>
      </c>
      <c r="U10" s="36" t="str">
        <f t="shared" ref="U10" si="34">IF(T10&lt;=2.99,"Bajo",IF(T10&lt;=4.99,"Medio bajo",IF(T10&lt;=9.99,"Medio",IF(T10&lt;=14.99,"Medio alto","Alto"))))</f>
        <v>Alto</v>
      </c>
      <c r="V10" s="79" t="str">
        <f t="shared" ref="V10" si="35">IF(U10="Alto","Se debe crear o modificar un Plan de Continuidad, o bien, si el plan de continuidad existe y no se ha probado se debe concretar una prueba.",IF(AND(U10="Medio Alto"),"Se debe crear o modificar un Plan de Continuidad, o bien, si el plan de continuidad existe y no se ha probado se debe concretar una prueba.",IF(AND(U10="Medio"),"No se requiere actualizar o construir un plan de continuidad, se debe mantener el plan de pruebas.",IF(AND(U10="Medio Bajo"),"No se requiere actualizar o construir un plan de continuidad, se debe mantener el plan de pruebas.",IF(AND(U10="Bajo"),"No se requiere actualizar o construir un plan de continuidad, se debe mantener el plan de pruebas.")))))</f>
        <v>Se debe crear o modificar un Plan de Continuidad, o bien, si el plan de continuidad existe y no se ha probado se debe concretar una prueba.</v>
      </c>
      <c r="W10" s="79" t="s">
        <v>251</v>
      </c>
      <c r="X10" s="83" t="s">
        <v>237</v>
      </c>
    </row>
    <row r="11" spans="2:24" ht="95.25" customHeight="1" x14ac:dyDescent="0.2">
      <c r="B11" s="26">
        <v>8</v>
      </c>
      <c r="C11" s="27" t="s">
        <v>226</v>
      </c>
      <c r="D11" s="28" t="s">
        <v>7</v>
      </c>
      <c r="E11" s="28" t="s">
        <v>140</v>
      </c>
      <c r="F11" s="29" t="s">
        <v>227</v>
      </c>
      <c r="G11" s="47" t="s">
        <v>252</v>
      </c>
      <c r="H11" s="31" t="s">
        <v>49</v>
      </c>
      <c r="I11" s="32" t="s">
        <v>69</v>
      </c>
      <c r="J11" s="33" t="s">
        <v>156</v>
      </c>
      <c r="K11" s="32" t="s">
        <v>50</v>
      </c>
      <c r="L11" s="34">
        <f t="shared" ref="L11" si="36">VALUE(MID(I11,1,1))</f>
        <v>5</v>
      </c>
      <c r="M11" s="34">
        <f t="shared" ref="M11" si="37">VALUE(MID(J11,1,1))</f>
        <v>1</v>
      </c>
      <c r="N11" s="34">
        <f t="shared" ref="N11" si="38">VALUE(MID(K11,1,1))</f>
        <v>1</v>
      </c>
      <c r="O11" s="35">
        <f t="shared" si="19"/>
        <v>10</v>
      </c>
      <c r="P11" s="35">
        <f t="shared" si="20"/>
        <v>10</v>
      </c>
      <c r="Q11" s="36" t="str">
        <f t="shared" si="21"/>
        <v>Medio alto</v>
      </c>
      <c r="R11" s="36" t="str">
        <f t="shared" si="22"/>
        <v>Medio alto</v>
      </c>
      <c r="S11" s="56">
        <v>0.01</v>
      </c>
      <c r="T11" s="73">
        <f t="shared" si="23"/>
        <v>1000</v>
      </c>
      <c r="U11" s="36" t="str">
        <f t="shared" si="24"/>
        <v>Alto</v>
      </c>
      <c r="V11" s="79" t="str">
        <f t="shared" si="25"/>
        <v>Se debe crear o modificar un Plan de Continuidad, o bien, si el plan de continuidad existe y no se ha probado se debe concretar una prueba.</v>
      </c>
      <c r="W11" s="79" t="s">
        <v>251</v>
      </c>
      <c r="X11" s="83" t="s">
        <v>238</v>
      </c>
    </row>
    <row r="12" spans="2:24" ht="123.75" customHeight="1" x14ac:dyDescent="0.2">
      <c r="B12" s="26">
        <v>9</v>
      </c>
      <c r="C12" s="27" t="s">
        <v>208</v>
      </c>
      <c r="D12" s="28" t="s">
        <v>7</v>
      </c>
      <c r="E12" s="28" t="s">
        <v>140</v>
      </c>
      <c r="F12" s="29" t="s">
        <v>137</v>
      </c>
      <c r="G12" s="47" t="s">
        <v>148</v>
      </c>
      <c r="H12" s="31" t="s">
        <v>49</v>
      </c>
      <c r="I12" s="32" t="s">
        <v>162</v>
      </c>
      <c r="J12" s="33" t="s">
        <v>8</v>
      </c>
      <c r="K12" s="32" t="s">
        <v>50</v>
      </c>
      <c r="L12" s="34">
        <f t="shared" ref="L12:L22" si="39">VALUE(MID(I12,1,1))</f>
        <v>2</v>
      </c>
      <c r="M12" s="34">
        <f t="shared" ref="M12:M22" si="40">VALUE(MID(J12,1,1))</f>
        <v>2</v>
      </c>
      <c r="N12" s="34">
        <f t="shared" ref="N12:N22" si="41">VALUE(MID(K12,1,1))</f>
        <v>1</v>
      </c>
      <c r="O12" s="35">
        <f t="shared" si="19"/>
        <v>4</v>
      </c>
      <c r="P12" s="35">
        <f t="shared" si="20"/>
        <v>4</v>
      </c>
      <c r="Q12" s="36" t="str">
        <f t="shared" si="21"/>
        <v>Medio bajo</v>
      </c>
      <c r="R12" s="36" t="str">
        <f t="shared" si="22"/>
        <v>Medio bajo</v>
      </c>
      <c r="S12" s="34"/>
      <c r="T12" s="73"/>
      <c r="U12" s="36" t="str">
        <f>IF(P12&lt;=2.99,"Bajo",IF(P12&lt;=4.99,"Medio bajo",IF(P12&lt;=9.99,"Medio",IF(P12&lt;=14.99,"Medio alto","Alto"))))</f>
        <v>Medio bajo</v>
      </c>
      <c r="V12" s="79" t="str">
        <f t="shared" si="25"/>
        <v>No se requiere actualizar o construir un plan de continuidad, se debe mantener el plan de pruebas.</v>
      </c>
      <c r="W12" s="79" t="s">
        <v>189</v>
      </c>
      <c r="X12" s="84" t="s">
        <v>241</v>
      </c>
    </row>
    <row r="13" spans="2:24" ht="120" customHeight="1" x14ac:dyDescent="0.2">
      <c r="B13" s="26">
        <v>10</v>
      </c>
      <c r="C13" s="27" t="s">
        <v>186</v>
      </c>
      <c r="D13" s="28" t="s">
        <v>7</v>
      </c>
      <c r="E13" s="28" t="s">
        <v>141</v>
      </c>
      <c r="F13" s="29" t="s">
        <v>163</v>
      </c>
      <c r="G13" s="47" t="s">
        <v>184</v>
      </c>
      <c r="H13" s="31" t="s">
        <v>49</v>
      </c>
      <c r="I13" s="32" t="s">
        <v>69</v>
      </c>
      <c r="J13" s="33" t="s">
        <v>8</v>
      </c>
      <c r="K13" s="32" t="s">
        <v>50</v>
      </c>
      <c r="L13" s="34">
        <f t="shared" ref="L13" si="42">VALUE(MID(I13,1,1))</f>
        <v>5</v>
      </c>
      <c r="M13" s="34">
        <f t="shared" ref="M13" si="43">VALUE(MID(J13,1,1))</f>
        <v>2</v>
      </c>
      <c r="N13" s="34">
        <f t="shared" ref="N13" si="44">VALUE(MID(K13,1,1))</f>
        <v>1</v>
      </c>
      <c r="O13" s="35">
        <f t="shared" si="19"/>
        <v>10</v>
      </c>
      <c r="P13" s="35">
        <f t="shared" si="20"/>
        <v>10</v>
      </c>
      <c r="Q13" s="36" t="str">
        <f t="shared" si="21"/>
        <v>Medio alto</v>
      </c>
      <c r="R13" s="36" t="str">
        <f t="shared" si="22"/>
        <v>Medio alto</v>
      </c>
      <c r="S13" s="56">
        <v>0.01</v>
      </c>
      <c r="T13" s="73">
        <f t="shared" ref="T13" si="45">(O13/N13)/S13</f>
        <v>1000</v>
      </c>
      <c r="U13" s="36" t="str">
        <f t="shared" ref="U13" si="46">IF(T13&lt;=2.99,"Bajo",IF(T13&lt;=4.99,"Medio bajo",IF(T13&lt;=9.99,"Medio",IF(T13&lt;=14.99,"Medio alto","Alto"))))</f>
        <v>Alto</v>
      </c>
      <c r="V13" s="79" t="str">
        <f t="shared" si="25"/>
        <v>Se debe crear o modificar un Plan de Continuidad, o bien, si el plan de continuidad existe y no se ha probado se debe concretar una prueba.</v>
      </c>
      <c r="W13" s="79" t="s">
        <v>188</v>
      </c>
      <c r="X13" s="83" t="s">
        <v>239</v>
      </c>
    </row>
    <row r="14" spans="2:24" ht="120" customHeight="1" x14ac:dyDescent="0.2">
      <c r="B14" s="26">
        <v>11</v>
      </c>
      <c r="C14" s="27" t="s">
        <v>186</v>
      </c>
      <c r="D14" s="28" t="s">
        <v>7</v>
      </c>
      <c r="E14" s="28" t="s">
        <v>141</v>
      </c>
      <c r="F14" s="29" t="s">
        <v>143</v>
      </c>
      <c r="G14" s="47" t="s">
        <v>184</v>
      </c>
      <c r="H14" s="31" t="s">
        <v>49</v>
      </c>
      <c r="I14" s="32" t="s">
        <v>69</v>
      </c>
      <c r="J14" s="33" t="s">
        <v>8</v>
      </c>
      <c r="K14" s="32" t="s">
        <v>50</v>
      </c>
      <c r="L14" s="34">
        <f t="shared" si="39"/>
        <v>5</v>
      </c>
      <c r="M14" s="34">
        <f t="shared" si="40"/>
        <v>2</v>
      </c>
      <c r="N14" s="34">
        <f t="shared" si="41"/>
        <v>1</v>
      </c>
      <c r="O14" s="35">
        <f t="shared" ref="O14:O22" si="47">IF(AND(L14=5,M14=1),10,L14*M14)</f>
        <v>10</v>
      </c>
      <c r="P14" s="35">
        <f t="shared" ref="P14:P22" si="48">O14/N14</f>
        <v>10</v>
      </c>
      <c r="Q14" s="36" t="str">
        <f t="shared" ref="Q14:Q22" si="49">IF(O14&lt;=2.99,"Bajo",IF(O14&lt;=4.99,"Medio bajo",IF(O14&lt;=9.99,"Medio",IF(O14&lt;=14.99,"Medio alto","Alto"))))</f>
        <v>Medio alto</v>
      </c>
      <c r="R14" s="36" t="str">
        <f t="shared" ref="R14:R22" si="50">IF(P14&lt;=2.99,"Bajo",IF(P14&lt;=4.99,"Medio bajo",IF(P14&lt;=9.99,"Medio",IF(P14&lt;=14.99,"Medio alto","Alto"))))</f>
        <v>Medio alto</v>
      </c>
      <c r="S14" s="56">
        <v>0.01</v>
      </c>
      <c r="T14" s="73">
        <f t="shared" si="23"/>
        <v>1000</v>
      </c>
      <c r="U14" s="36" t="str">
        <f t="shared" ref="U14" si="51">IF(T14&lt;=2.99,"Bajo",IF(T14&lt;=4.99,"Medio bajo",IF(T14&lt;=9.99,"Medio",IF(T14&lt;=14.99,"Medio alto","Alto"))))</f>
        <v>Alto</v>
      </c>
      <c r="V14" s="79" t="str">
        <f t="shared" ref="V14:V22" si="52">IF(U14="Alto","Se debe crear o modificar un Plan de Continuidad, o bien, si el plan de continuidad existe y no se ha probado se debe concretar una prueba.",IF(AND(U14="Medio Alto"),"Se debe crear o modificar un Plan de Continuidad, o bien, si el plan de continuidad existe y no se ha probado se debe concretar una prueba.",IF(AND(U14="Medio"),"No se requiere actualizar o construir un plan de continuidad, se debe mantener el plan de pruebas.",IF(AND(U14="Medio Bajo"),"No se requiere actualizar o construir un plan de continuidad, se debe mantener el plan de pruebas.",IF(AND(U14="Bajo"),"No se requiere actualizar o construir un plan de continuidad, se debe mantener el plan de pruebas.")))))</f>
        <v>Se debe crear o modificar un Plan de Continuidad, o bien, si el plan de continuidad existe y no se ha probado se debe concretar una prueba.</v>
      </c>
      <c r="W14" s="79" t="s">
        <v>188</v>
      </c>
      <c r="X14" s="83" t="s">
        <v>240</v>
      </c>
    </row>
    <row r="15" spans="2:24" ht="112.5" customHeight="1" x14ac:dyDescent="0.2">
      <c r="B15" s="26">
        <v>12</v>
      </c>
      <c r="C15" s="27" t="s">
        <v>187</v>
      </c>
      <c r="D15" s="28" t="s">
        <v>7</v>
      </c>
      <c r="E15" s="28" t="s">
        <v>141</v>
      </c>
      <c r="F15" s="29" t="s">
        <v>164</v>
      </c>
      <c r="G15" s="30" t="s">
        <v>148</v>
      </c>
      <c r="H15" s="31" t="s">
        <v>49</v>
      </c>
      <c r="I15" s="32" t="s">
        <v>69</v>
      </c>
      <c r="J15" s="33" t="s">
        <v>125</v>
      </c>
      <c r="K15" s="32" t="s">
        <v>50</v>
      </c>
      <c r="L15" s="34">
        <f t="shared" si="39"/>
        <v>5</v>
      </c>
      <c r="M15" s="34">
        <f t="shared" si="40"/>
        <v>3</v>
      </c>
      <c r="N15" s="34">
        <f t="shared" si="41"/>
        <v>1</v>
      </c>
      <c r="O15" s="35">
        <f t="shared" si="47"/>
        <v>15</v>
      </c>
      <c r="P15" s="35">
        <f t="shared" si="48"/>
        <v>15</v>
      </c>
      <c r="Q15" s="36" t="str">
        <f t="shared" si="49"/>
        <v>Alto</v>
      </c>
      <c r="R15" s="36" t="str">
        <f t="shared" si="50"/>
        <v>Alto</v>
      </c>
      <c r="S15" s="34"/>
      <c r="T15" s="73"/>
      <c r="U15" s="36" t="str">
        <f>IF(P15&lt;=2.99,"Bajo",IF(P15&lt;=4.99,"Medio bajo",IF(P15&lt;=9.99,"Medio",IF(P15&lt;=14.99,"Medio alto","Alto"))))</f>
        <v>Alto</v>
      </c>
      <c r="V15" s="79" t="str">
        <f t="shared" si="52"/>
        <v>Se debe crear o modificar un Plan de Continuidad, o bien, si el plan de continuidad existe y no se ha probado se debe concretar una prueba.</v>
      </c>
      <c r="W15" s="79" t="s">
        <v>212</v>
      </c>
      <c r="X15" s="83" t="s">
        <v>235</v>
      </c>
    </row>
    <row r="16" spans="2:24" ht="114" customHeight="1" x14ac:dyDescent="0.2">
      <c r="B16" s="26">
        <v>13</v>
      </c>
      <c r="C16" s="27" t="s">
        <v>221</v>
      </c>
      <c r="D16" s="28" t="s">
        <v>7</v>
      </c>
      <c r="E16" s="28" t="s">
        <v>141</v>
      </c>
      <c r="F16" s="29" t="s">
        <v>220</v>
      </c>
      <c r="G16" s="30" t="s">
        <v>148</v>
      </c>
      <c r="H16" s="31" t="s">
        <v>49</v>
      </c>
      <c r="I16" s="32" t="s">
        <v>162</v>
      </c>
      <c r="J16" s="33" t="s">
        <v>156</v>
      </c>
      <c r="K16" s="32" t="s">
        <v>50</v>
      </c>
      <c r="L16" s="34">
        <f t="shared" si="39"/>
        <v>2</v>
      </c>
      <c r="M16" s="34">
        <f t="shared" si="40"/>
        <v>1</v>
      </c>
      <c r="N16" s="34">
        <f t="shared" si="41"/>
        <v>1</v>
      </c>
      <c r="O16" s="35">
        <f t="shared" si="47"/>
        <v>2</v>
      </c>
      <c r="P16" s="35">
        <f t="shared" si="48"/>
        <v>2</v>
      </c>
      <c r="Q16" s="36" t="str">
        <f t="shared" si="49"/>
        <v>Bajo</v>
      </c>
      <c r="R16" s="36" t="str">
        <f t="shared" si="50"/>
        <v>Bajo</v>
      </c>
      <c r="S16" s="34"/>
      <c r="T16" s="73"/>
      <c r="U16" s="36" t="str">
        <f>IF(P16&lt;=2.99,"Bajo",IF(P16&lt;=4.99,"Medio bajo",IF(P16&lt;=9.99,"Medio",IF(P16&lt;=14.99,"Medio alto","Alto"))))</f>
        <v>Bajo</v>
      </c>
      <c r="V16" s="79" t="str">
        <f t="shared" si="52"/>
        <v>No se requiere actualizar o construir un plan de continuidad, se debe mantener el plan de pruebas.</v>
      </c>
      <c r="W16" s="79" t="s">
        <v>209</v>
      </c>
      <c r="X16" s="83" t="s">
        <v>222</v>
      </c>
    </row>
    <row r="17" spans="2:24" ht="172.5" customHeight="1" x14ac:dyDescent="0.2">
      <c r="B17" s="26">
        <v>14</v>
      </c>
      <c r="C17" s="27" t="s">
        <v>218</v>
      </c>
      <c r="D17" s="28" t="s">
        <v>7</v>
      </c>
      <c r="E17" s="28" t="s">
        <v>141</v>
      </c>
      <c r="F17" s="29" t="s">
        <v>217</v>
      </c>
      <c r="G17" s="30" t="s">
        <v>148</v>
      </c>
      <c r="H17" s="31" t="s">
        <v>49</v>
      </c>
      <c r="I17" s="32" t="s">
        <v>151</v>
      </c>
      <c r="J17" s="33" t="s">
        <v>125</v>
      </c>
      <c r="K17" s="32" t="s">
        <v>50</v>
      </c>
      <c r="L17" s="34">
        <f t="shared" ref="L17" si="53">VALUE(MID(I17,1,1))</f>
        <v>4</v>
      </c>
      <c r="M17" s="34">
        <f t="shared" ref="M17" si="54">VALUE(MID(J17,1,1))</f>
        <v>3</v>
      </c>
      <c r="N17" s="34">
        <f t="shared" ref="N17" si="55">VALUE(MID(K17,1,1))</f>
        <v>1</v>
      </c>
      <c r="O17" s="35">
        <f t="shared" ref="O17" si="56">IF(AND(L17=5,M17=1),10,L17*M17)</f>
        <v>12</v>
      </c>
      <c r="P17" s="35">
        <f t="shared" ref="P17" si="57">O17/N17</f>
        <v>12</v>
      </c>
      <c r="Q17" s="36" t="str">
        <f t="shared" ref="Q17" si="58">IF(O17&lt;=2.99,"Bajo",IF(O17&lt;=4.99,"Medio bajo",IF(O17&lt;=9.99,"Medio",IF(O17&lt;=14.99,"Medio alto","Alto"))))</f>
        <v>Medio alto</v>
      </c>
      <c r="R17" s="36" t="str">
        <f t="shared" ref="R17" si="59">IF(P17&lt;=2.99,"Bajo",IF(P17&lt;=4.99,"Medio bajo",IF(P17&lt;=9.99,"Medio",IF(P17&lt;=14.99,"Medio alto","Alto"))))</f>
        <v>Medio alto</v>
      </c>
      <c r="S17" s="34"/>
      <c r="T17" s="73"/>
      <c r="U17" s="36" t="str">
        <f>IF(P17&lt;=2.99,"Bajo",IF(P17&lt;=4.99,"Medio bajo",IF(P17&lt;=9.99,"Medio",IF(P17&lt;=14.99,"Medio alto","Alto"))))</f>
        <v>Medio alto</v>
      </c>
      <c r="V17" s="79" t="str">
        <f t="shared" ref="V17" si="60">IF(U17="Alto","Se debe crear o modificar un Plan de Continuidad, o bien, si el plan de continuidad existe y no se ha probado se debe concretar una prueba.",IF(AND(U17="Medio Alto"),"Se debe crear o modificar un Plan de Continuidad, o bien, si el plan de continuidad existe y no se ha probado se debe concretar una prueba.",IF(AND(U17="Medio"),"No se requiere actualizar o construir un plan de continuidad, se debe mantener el plan de pruebas.",IF(AND(U17="Medio Bajo"),"No se requiere actualizar o construir un plan de continuidad, se debe mantener el plan de pruebas.",IF(AND(U17="Bajo"),"No se requiere actualizar o construir un plan de continuidad, se debe mantener el plan de pruebas.")))))</f>
        <v>Se debe crear o modificar un Plan de Continuidad, o bien, si el plan de continuidad existe y no se ha probado se debe concretar una prueba.</v>
      </c>
      <c r="W17" s="79" t="s">
        <v>212</v>
      </c>
      <c r="X17" s="83" t="s">
        <v>219</v>
      </c>
    </row>
    <row r="18" spans="2:24" ht="117.75" customHeight="1" x14ac:dyDescent="0.2">
      <c r="B18" s="26">
        <v>15</v>
      </c>
      <c r="C18" s="27" t="s">
        <v>231</v>
      </c>
      <c r="D18" s="28" t="s">
        <v>7</v>
      </c>
      <c r="E18" s="28" t="s">
        <v>141</v>
      </c>
      <c r="F18" s="29" t="s">
        <v>165</v>
      </c>
      <c r="G18" s="47" t="s">
        <v>190</v>
      </c>
      <c r="H18" s="31" t="s">
        <v>49</v>
      </c>
      <c r="I18" s="32" t="s">
        <v>162</v>
      </c>
      <c r="J18" s="33" t="s">
        <v>125</v>
      </c>
      <c r="K18" s="32" t="s">
        <v>50</v>
      </c>
      <c r="L18" s="34">
        <f t="shared" si="39"/>
        <v>2</v>
      </c>
      <c r="M18" s="34">
        <f t="shared" si="40"/>
        <v>3</v>
      </c>
      <c r="N18" s="34">
        <f t="shared" si="41"/>
        <v>1</v>
      </c>
      <c r="O18" s="35">
        <f t="shared" si="47"/>
        <v>6</v>
      </c>
      <c r="P18" s="35">
        <f t="shared" si="48"/>
        <v>6</v>
      </c>
      <c r="Q18" s="36" t="str">
        <f t="shared" si="49"/>
        <v>Medio</v>
      </c>
      <c r="R18" s="36" t="str">
        <f t="shared" si="50"/>
        <v>Medio</v>
      </c>
      <c r="S18" s="56">
        <v>0.01</v>
      </c>
      <c r="T18" s="73">
        <f>IF(((O18/N18)/S18)&gt;O18,O18,(O18/N18)/S18)</f>
        <v>6</v>
      </c>
      <c r="U18" s="36" t="str">
        <f t="shared" ref="U18" si="61">IF(T18&lt;=2.99,"Bajo",IF(T18&lt;=4.99,"Medio bajo",IF(T18&lt;=9.99,"Medio",IF(T18&lt;=14.99,"Medio alto","Alto"))))</f>
        <v>Medio</v>
      </c>
      <c r="V18" s="79" t="str">
        <f t="shared" si="52"/>
        <v>No se requiere actualizar o construir un plan de continuidad, se debe mantener el plan de pruebas.</v>
      </c>
      <c r="W18" s="79" t="s">
        <v>250</v>
      </c>
      <c r="X18" s="84" t="s">
        <v>241</v>
      </c>
    </row>
    <row r="19" spans="2:24" ht="117.75" customHeight="1" x14ac:dyDescent="0.2">
      <c r="B19" s="26">
        <v>16</v>
      </c>
      <c r="C19" s="27" t="s">
        <v>191</v>
      </c>
      <c r="D19" s="28" t="s">
        <v>7</v>
      </c>
      <c r="E19" s="28" t="s">
        <v>141</v>
      </c>
      <c r="F19" s="29" t="s">
        <v>144</v>
      </c>
      <c r="G19" s="30" t="s">
        <v>148</v>
      </c>
      <c r="H19" s="31" t="s">
        <v>49</v>
      </c>
      <c r="I19" s="32" t="s">
        <v>69</v>
      </c>
      <c r="J19" s="33" t="s">
        <v>125</v>
      </c>
      <c r="K19" s="32" t="s">
        <v>50</v>
      </c>
      <c r="L19" s="34">
        <f t="shared" si="39"/>
        <v>5</v>
      </c>
      <c r="M19" s="34">
        <f t="shared" si="40"/>
        <v>3</v>
      </c>
      <c r="N19" s="34">
        <f t="shared" si="41"/>
        <v>1</v>
      </c>
      <c r="O19" s="35">
        <f t="shared" si="47"/>
        <v>15</v>
      </c>
      <c r="P19" s="35">
        <f t="shared" si="48"/>
        <v>15</v>
      </c>
      <c r="Q19" s="36" t="str">
        <f t="shared" si="49"/>
        <v>Alto</v>
      </c>
      <c r="R19" s="36" t="str">
        <f t="shared" si="50"/>
        <v>Alto</v>
      </c>
      <c r="S19" s="34"/>
      <c r="T19" s="73"/>
      <c r="U19" s="36" t="str">
        <f>IF(P19&lt;=2.99,"Bajo",IF(P19&lt;=4.99,"Medio bajo",IF(P19&lt;=9.99,"Medio",IF(P19&lt;=14.99,"Medio alto","Alto"))))</f>
        <v>Alto</v>
      </c>
      <c r="V19" s="79" t="str">
        <f t="shared" si="52"/>
        <v>Se debe crear o modificar un Plan de Continuidad, o bien, si el plan de continuidad existe y no se ha probado se debe concretar una prueba.</v>
      </c>
      <c r="W19" s="79" t="s">
        <v>212</v>
      </c>
      <c r="X19" s="83" t="s">
        <v>242</v>
      </c>
    </row>
    <row r="20" spans="2:24" ht="120.75" customHeight="1" x14ac:dyDescent="0.2">
      <c r="B20" s="26">
        <v>17</v>
      </c>
      <c r="C20" s="27" t="s">
        <v>192</v>
      </c>
      <c r="D20" s="28" t="s">
        <v>7</v>
      </c>
      <c r="E20" s="28" t="s">
        <v>141</v>
      </c>
      <c r="F20" s="29" t="s">
        <v>166</v>
      </c>
      <c r="G20" s="30" t="s">
        <v>148</v>
      </c>
      <c r="H20" s="31" t="s">
        <v>49</v>
      </c>
      <c r="I20" s="32" t="s">
        <v>69</v>
      </c>
      <c r="J20" s="33" t="s">
        <v>156</v>
      </c>
      <c r="K20" s="32" t="s">
        <v>50</v>
      </c>
      <c r="L20" s="34">
        <f t="shared" si="39"/>
        <v>5</v>
      </c>
      <c r="M20" s="34">
        <f t="shared" si="40"/>
        <v>1</v>
      </c>
      <c r="N20" s="34">
        <f t="shared" si="41"/>
        <v>1</v>
      </c>
      <c r="O20" s="35">
        <f t="shared" si="47"/>
        <v>10</v>
      </c>
      <c r="P20" s="35">
        <f t="shared" si="48"/>
        <v>10</v>
      </c>
      <c r="Q20" s="36" t="str">
        <f t="shared" si="49"/>
        <v>Medio alto</v>
      </c>
      <c r="R20" s="36" t="str">
        <f t="shared" si="50"/>
        <v>Medio alto</v>
      </c>
      <c r="S20" s="34"/>
      <c r="T20" s="73"/>
      <c r="U20" s="36" t="str">
        <f>IF(P20&lt;=2.99,"Bajo",IF(P20&lt;=4.99,"Medio bajo",IF(P20&lt;=9.99,"Medio",IF(P20&lt;=14.99,"Medio alto","Alto"))))</f>
        <v>Medio alto</v>
      </c>
      <c r="V20" s="79" t="str">
        <f t="shared" si="52"/>
        <v>Se debe crear o modificar un Plan de Continuidad, o bien, si el plan de continuidad existe y no se ha probado se debe concretar una prueba.</v>
      </c>
      <c r="W20" s="79" t="s">
        <v>193</v>
      </c>
      <c r="X20" s="84" t="s">
        <v>241</v>
      </c>
    </row>
    <row r="21" spans="2:24" ht="117.75" customHeight="1" x14ac:dyDescent="0.2">
      <c r="B21" s="26">
        <v>18</v>
      </c>
      <c r="C21" s="27" t="s">
        <v>194</v>
      </c>
      <c r="D21" s="28" t="s">
        <v>7</v>
      </c>
      <c r="E21" s="28" t="s">
        <v>141</v>
      </c>
      <c r="F21" s="29" t="s">
        <v>167</v>
      </c>
      <c r="G21" s="47" t="s">
        <v>148</v>
      </c>
      <c r="H21" s="31" t="s">
        <v>49</v>
      </c>
      <c r="I21" s="32" t="s">
        <v>69</v>
      </c>
      <c r="J21" s="33" t="s">
        <v>157</v>
      </c>
      <c r="K21" s="32" t="s">
        <v>50</v>
      </c>
      <c r="L21" s="34">
        <f t="shared" si="39"/>
        <v>5</v>
      </c>
      <c r="M21" s="34">
        <f t="shared" si="40"/>
        <v>5</v>
      </c>
      <c r="N21" s="34">
        <f t="shared" si="41"/>
        <v>1</v>
      </c>
      <c r="O21" s="35">
        <f t="shared" si="47"/>
        <v>25</v>
      </c>
      <c r="P21" s="35">
        <f t="shared" si="48"/>
        <v>25</v>
      </c>
      <c r="Q21" s="36" t="str">
        <f t="shared" si="49"/>
        <v>Alto</v>
      </c>
      <c r="R21" s="36" t="str">
        <f t="shared" si="50"/>
        <v>Alto</v>
      </c>
      <c r="S21" s="34"/>
      <c r="T21" s="73"/>
      <c r="U21" s="36" t="str">
        <f>IF(P21&lt;=2.99,"Bajo",IF(P21&lt;=4.99,"Medio bajo",IF(P21&lt;=9.99,"Medio",IF(P21&lt;=14.99,"Medio alto","Alto"))))</f>
        <v>Alto</v>
      </c>
      <c r="V21" s="79" t="str">
        <f t="shared" si="52"/>
        <v>Se debe crear o modificar un Plan de Continuidad, o bien, si el plan de continuidad existe y no se ha probado se debe concretar una prueba.</v>
      </c>
      <c r="W21" s="79" t="s">
        <v>212</v>
      </c>
      <c r="X21" s="83" t="s">
        <v>222</v>
      </c>
    </row>
    <row r="22" spans="2:24" ht="117.75" customHeight="1" x14ac:dyDescent="0.2">
      <c r="B22" s="26">
        <v>19</v>
      </c>
      <c r="C22" s="27" t="s">
        <v>236</v>
      </c>
      <c r="D22" s="28" t="s">
        <v>7</v>
      </c>
      <c r="E22" s="28" t="s">
        <v>141</v>
      </c>
      <c r="F22" s="29" t="s">
        <v>168</v>
      </c>
      <c r="G22" s="47" t="s">
        <v>148</v>
      </c>
      <c r="H22" s="31" t="s">
        <v>49</v>
      </c>
      <c r="I22" s="32" t="s">
        <v>151</v>
      </c>
      <c r="J22" s="33" t="s">
        <v>8</v>
      </c>
      <c r="K22" s="32" t="s">
        <v>50</v>
      </c>
      <c r="L22" s="34">
        <f t="shared" si="39"/>
        <v>4</v>
      </c>
      <c r="M22" s="34">
        <f t="shared" si="40"/>
        <v>2</v>
      </c>
      <c r="N22" s="34">
        <f t="shared" si="41"/>
        <v>1</v>
      </c>
      <c r="O22" s="35">
        <f t="shared" si="47"/>
        <v>8</v>
      </c>
      <c r="P22" s="35">
        <f t="shared" si="48"/>
        <v>8</v>
      </c>
      <c r="Q22" s="36" t="str">
        <f t="shared" si="49"/>
        <v>Medio</v>
      </c>
      <c r="R22" s="36" t="str">
        <f t="shared" si="50"/>
        <v>Medio</v>
      </c>
      <c r="S22" s="34"/>
      <c r="T22" s="73"/>
      <c r="U22" s="36" t="str">
        <f>IF(P22&lt;=2.99,"Bajo",IF(P22&lt;=4.99,"Medio bajo",IF(P22&lt;=9.99,"Medio",IF(P22&lt;=14.99,"Medio alto","Alto"))))</f>
        <v>Medio</v>
      </c>
      <c r="V22" s="79" t="str">
        <f t="shared" si="52"/>
        <v>No se requiere actualizar o construir un plan de continuidad, se debe mantener el plan de pruebas.</v>
      </c>
      <c r="W22" s="79" t="s">
        <v>189</v>
      </c>
      <c r="X22" s="83" t="s">
        <v>241</v>
      </c>
    </row>
    <row r="23" spans="2:24" ht="96" customHeight="1" x14ac:dyDescent="0.2">
      <c r="B23" s="26">
        <v>20</v>
      </c>
      <c r="C23" s="27" t="s">
        <v>243</v>
      </c>
      <c r="D23" s="28" t="s">
        <v>7</v>
      </c>
      <c r="E23" s="28" t="s">
        <v>141</v>
      </c>
      <c r="F23" s="29" t="s">
        <v>149</v>
      </c>
      <c r="G23" s="47" t="s">
        <v>184</v>
      </c>
      <c r="H23" s="31" t="s">
        <v>49</v>
      </c>
      <c r="I23" s="32" t="s">
        <v>69</v>
      </c>
      <c r="J23" s="33" t="s">
        <v>125</v>
      </c>
      <c r="K23" s="32" t="s">
        <v>50</v>
      </c>
      <c r="L23" s="34">
        <f t="shared" ref="L23:L27" si="62">VALUE(MID(I23,1,1))</f>
        <v>5</v>
      </c>
      <c r="M23" s="34">
        <f t="shared" ref="M23:M27" si="63">VALUE(MID(J23,1,1))</f>
        <v>3</v>
      </c>
      <c r="N23" s="34">
        <f t="shared" ref="N23:N27" si="64">VALUE(MID(K23,1,1))</f>
        <v>1</v>
      </c>
      <c r="O23" s="35">
        <f t="shared" si="19"/>
        <v>15</v>
      </c>
      <c r="P23" s="35">
        <f t="shared" si="20"/>
        <v>15</v>
      </c>
      <c r="Q23" s="36" t="str">
        <f t="shared" si="21"/>
        <v>Alto</v>
      </c>
      <c r="R23" s="36" t="str">
        <f t="shared" si="22"/>
        <v>Alto</v>
      </c>
      <c r="S23" s="56">
        <v>0.01</v>
      </c>
      <c r="T23" s="73">
        <f t="shared" ref="T23" si="65">IF(((O23/N23)/S23)&gt;O23,O23,(O23/N23)/S23)</f>
        <v>15</v>
      </c>
      <c r="U23" s="36" t="str">
        <f t="shared" ref="U23" si="66">IF(T23&lt;=2.99,"Bajo",IF(T23&lt;=4.99,"Medio bajo",IF(T23&lt;=9.99,"Medio",IF(T23&lt;=14.99,"Medio alto","Alto"))))</f>
        <v>Alto</v>
      </c>
      <c r="V23" s="79" t="str">
        <f t="shared" si="25"/>
        <v>Se debe crear o modificar un Plan de Continuidad, o bien, si el plan de continuidad existe y no se ha probado se debe concretar una prueba.</v>
      </c>
      <c r="W23" s="79" t="s">
        <v>188</v>
      </c>
      <c r="X23" s="83" t="s">
        <v>237</v>
      </c>
    </row>
    <row r="24" spans="2:24" ht="117.75" customHeight="1" x14ac:dyDescent="0.2">
      <c r="B24" s="26">
        <v>21</v>
      </c>
      <c r="C24" s="27" t="s">
        <v>233</v>
      </c>
      <c r="D24" s="28" t="s">
        <v>7</v>
      </c>
      <c r="E24" s="28" t="s">
        <v>141</v>
      </c>
      <c r="F24" s="29" t="s">
        <v>234</v>
      </c>
      <c r="G24" s="30" t="s">
        <v>148</v>
      </c>
      <c r="H24" s="31" t="s">
        <v>49</v>
      </c>
      <c r="I24" s="32" t="s">
        <v>69</v>
      </c>
      <c r="J24" s="33" t="s">
        <v>232</v>
      </c>
      <c r="K24" s="32" t="s">
        <v>50</v>
      </c>
      <c r="L24" s="34">
        <f t="shared" ref="L24:L25" si="67">VALUE(MID(I24,1,1))</f>
        <v>5</v>
      </c>
      <c r="M24" s="34">
        <f t="shared" ref="M24:M25" si="68">VALUE(MID(J24,1,1))</f>
        <v>4</v>
      </c>
      <c r="N24" s="34">
        <f t="shared" ref="N24:N25" si="69">VALUE(MID(K24,1,1))</f>
        <v>1</v>
      </c>
      <c r="O24" s="35">
        <f t="shared" ref="O24:O25" si="70">IF(AND(L24=5,M24=1),10,L24*M24)</f>
        <v>20</v>
      </c>
      <c r="P24" s="35">
        <f t="shared" ref="P24:P25" si="71">O24/N24</f>
        <v>20</v>
      </c>
      <c r="Q24" s="36" t="str">
        <f t="shared" ref="Q24:Q25" si="72">IF(O24&lt;=2.99,"Bajo",IF(O24&lt;=4.99,"Medio bajo",IF(O24&lt;=9.99,"Medio",IF(O24&lt;=14.99,"Medio alto","Alto"))))</f>
        <v>Alto</v>
      </c>
      <c r="R24" s="36" t="str">
        <f t="shared" ref="R24:R25" si="73">IF(P24&lt;=2.99,"Bajo",IF(P24&lt;=4.99,"Medio bajo",IF(P24&lt;=9.99,"Medio",IF(P24&lt;=14.99,"Medio alto","Alto"))))</f>
        <v>Alto</v>
      </c>
      <c r="S24" s="34"/>
      <c r="T24" s="73"/>
      <c r="U24" s="36" t="str">
        <f>IF(P24&lt;=2.99,"Bajo",IF(P24&lt;=4.99,"Medio bajo",IF(P24&lt;=9.99,"Medio",IF(P24&lt;=14.99,"Medio alto","Alto"))))</f>
        <v>Alto</v>
      </c>
      <c r="V24" s="79" t="str">
        <f t="shared" ref="V24:V25" si="74">IF(U24="Alto","Se debe crear o modificar un Plan de Continuidad, o bien, si el plan de continuidad existe y no se ha probado se debe concretar una prueba.",IF(AND(U24="Medio Alto"),"Se debe crear o modificar un Plan de Continuidad, o bien, si el plan de continuidad existe y no se ha probado se debe concretar una prueba.",IF(AND(U24="Medio"),"No se requiere actualizar o construir un plan de continuidad, se debe mantener el plan de pruebas.",IF(AND(U24="Medio Bajo"),"No se requiere actualizar o construir un plan de continuidad, se debe mantener el plan de pruebas.",IF(AND(U24="Bajo"),"No se requiere actualizar o construir un plan de continuidad, se debe mantener el plan de pruebas.")))))</f>
        <v>Se debe crear o modificar un Plan de Continuidad, o bien, si el plan de continuidad existe y no se ha probado se debe concretar una prueba.</v>
      </c>
      <c r="W24" s="79" t="s">
        <v>212</v>
      </c>
      <c r="X24" s="83" t="s">
        <v>244</v>
      </c>
    </row>
    <row r="25" spans="2:24" ht="119.25" customHeight="1" x14ac:dyDescent="0.2">
      <c r="B25" s="26">
        <v>22</v>
      </c>
      <c r="C25" s="27" t="s">
        <v>195</v>
      </c>
      <c r="D25" s="28" t="s">
        <v>7</v>
      </c>
      <c r="E25" s="28" t="s">
        <v>141</v>
      </c>
      <c r="F25" s="29" t="s">
        <v>145</v>
      </c>
      <c r="G25" s="47" t="s">
        <v>184</v>
      </c>
      <c r="H25" s="31" t="s">
        <v>49</v>
      </c>
      <c r="I25" s="32" t="s">
        <v>69</v>
      </c>
      <c r="J25" s="33" t="s">
        <v>157</v>
      </c>
      <c r="K25" s="32" t="s">
        <v>50</v>
      </c>
      <c r="L25" s="34">
        <f t="shared" si="67"/>
        <v>5</v>
      </c>
      <c r="M25" s="34">
        <f t="shared" si="68"/>
        <v>5</v>
      </c>
      <c r="N25" s="34">
        <f t="shared" si="69"/>
        <v>1</v>
      </c>
      <c r="O25" s="35">
        <f t="shared" si="70"/>
        <v>25</v>
      </c>
      <c r="P25" s="35">
        <f t="shared" si="71"/>
        <v>25</v>
      </c>
      <c r="Q25" s="36" t="str">
        <f t="shared" si="72"/>
        <v>Alto</v>
      </c>
      <c r="R25" s="36" t="str">
        <f t="shared" si="73"/>
        <v>Alto</v>
      </c>
      <c r="S25" s="56">
        <v>0.01</v>
      </c>
      <c r="T25" s="73">
        <f t="shared" ref="T25" si="75">IF(((O25/N25)/S25)&gt;O25,O25,(O25/N25)/S25)</f>
        <v>25</v>
      </c>
      <c r="U25" s="36" t="str">
        <f t="shared" ref="U25" si="76">IF(T25&lt;=2.99,"Bajo",IF(T25&lt;=4.99,"Medio bajo",IF(T25&lt;=9.99,"Medio",IF(T25&lt;=14.99,"Medio alto","Alto"))))</f>
        <v>Alto</v>
      </c>
      <c r="V25" s="79" t="str">
        <f t="shared" si="74"/>
        <v>Se debe crear o modificar un Plan de Continuidad, o bien, si el plan de continuidad existe y no se ha probado se debe concretar una prueba.</v>
      </c>
      <c r="W25" s="79" t="s">
        <v>188</v>
      </c>
      <c r="X25" s="83" t="s">
        <v>237</v>
      </c>
    </row>
    <row r="26" spans="2:24" ht="119.25" customHeight="1" x14ac:dyDescent="0.2">
      <c r="B26" s="26">
        <v>23</v>
      </c>
      <c r="C26" s="27" t="s">
        <v>196</v>
      </c>
      <c r="D26" s="28" t="s">
        <v>7</v>
      </c>
      <c r="E26" s="28" t="s">
        <v>141</v>
      </c>
      <c r="F26" s="29" t="s">
        <v>169</v>
      </c>
      <c r="G26" s="30" t="s">
        <v>148</v>
      </c>
      <c r="H26" s="31" t="s">
        <v>49</v>
      </c>
      <c r="I26" s="32" t="s">
        <v>155</v>
      </c>
      <c r="J26" s="33" t="s">
        <v>8</v>
      </c>
      <c r="K26" s="32" t="s">
        <v>50</v>
      </c>
      <c r="L26" s="34">
        <f t="shared" ref="L26" si="77">VALUE(MID(I26,1,1))</f>
        <v>3</v>
      </c>
      <c r="M26" s="34">
        <f t="shared" ref="M26" si="78">VALUE(MID(J26,1,1))</f>
        <v>2</v>
      </c>
      <c r="N26" s="34">
        <f t="shared" ref="N26" si="79">VALUE(MID(K26,1,1))</f>
        <v>1</v>
      </c>
      <c r="O26" s="35">
        <f t="shared" ref="O26" si="80">IF(AND(L26=5,M26=1),10,L26*M26)</f>
        <v>6</v>
      </c>
      <c r="P26" s="35">
        <f t="shared" ref="P26" si="81">O26/N26</f>
        <v>6</v>
      </c>
      <c r="Q26" s="36" t="str">
        <f t="shared" ref="Q26" si="82">IF(O26&lt;=2.99,"Bajo",IF(O26&lt;=4.99,"Medio bajo",IF(O26&lt;=9.99,"Medio",IF(O26&lt;=14.99,"Medio alto","Alto"))))</f>
        <v>Medio</v>
      </c>
      <c r="R26" s="36" t="str">
        <f t="shared" ref="R26" si="83">IF(P26&lt;=2.99,"Bajo",IF(P26&lt;=4.99,"Medio bajo",IF(P26&lt;=9.99,"Medio",IF(P26&lt;=14.99,"Medio alto","Alto"))))</f>
        <v>Medio</v>
      </c>
      <c r="S26" s="34"/>
      <c r="T26" s="73"/>
      <c r="U26" s="36" t="str">
        <f>IF(P26&lt;=2.99,"Bajo",IF(P26&lt;=4.99,"Medio bajo",IF(P26&lt;=9.99,"Medio",IF(P26&lt;=14.99,"Medio alto","Alto"))))</f>
        <v>Medio</v>
      </c>
      <c r="V26" s="79" t="str">
        <f t="shared" ref="V26" si="84">IF(U26="Alto","Se debe crear o modificar un Plan de Continuidad, o bien, si el plan de continuidad existe y no se ha probado se debe concretar una prueba.",IF(AND(U26="Medio Alto"),"Se debe crear o modificar un Plan de Continuidad, o bien, si el plan de continuidad existe y no se ha probado se debe concretar una prueba.",IF(AND(U26="Medio"),"No se requiere actualizar o construir un plan de continuidad, se debe mantener el plan de pruebas.",IF(AND(U26="Medio Bajo"),"No se requiere actualizar o construir un plan de continuidad, se debe mantener el plan de pruebas.",IF(AND(U26="Bajo"),"No se requiere actualizar o construir un plan de continuidad, se debe mantener el plan de pruebas.")))))</f>
        <v>No se requiere actualizar o construir un plan de continuidad, se debe mantener el plan de pruebas.</v>
      </c>
      <c r="W26" s="79" t="s">
        <v>189</v>
      </c>
      <c r="X26" s="84" t="s">
        <v>235</v>
      </c>
    </row>
    <row r="27" spans="2:24" ht="121.5" customHeight="1" x14ac:dyDescent="0.2">
      <c r="B27" s="26">
        <v>24</v>
      </c>
      <c r="C27" s="27" t="s">
        <v>198</v>
      </c>
      <c r="D27" s="28" t="s">
        <v>7</v>
      </c>
      <c r="E27" s="28" t="s">
        <v>141</v>
      </c>
      <c r="F27" s="29" t="s">
        <v>146</v>
      </c>
      <c r="G27" s="30" t="s">
        <v>148</v>
      </c>
      <c r="H27" s="31" t="s">
        <v>49</v>
      </c>
      <c r="I27" s="32" t="s">
        <v>69</v>
      </c>
      <c r="J27" s="33" t="s">
        <v>156</v>
      </c>
      <c r="K27" s="32" t="s">
        <v>50</v>
      </c>
      <c r="L27" s="34">
        <f t="shared" si="62"/>
        <v>5</v>
      </c>
      <c r="M27" s="34">
        <f t="shared" si="63"/>
        <v>1</v>
      </c>
      <c r="N27" s="34">
        <f t="shared" si="64"/>
        <v>1</v>
      </c>
      <c r="O27" s="35">
        <f t="shared" si="19"/>
        <v>10</v>
      </c>
      <c r="P27" s="35">
        <f t="shared" si="20"/>
        <v>10</v>
      </c>
      <c r="Q27" s="36" t="str">
        <f t="shared" si="21"/>
        <v>Medio alto</v>
      </c>
      <c r="R27" s="36" t="str">
        <f t="shared" ref="R27" si="85">IF(P27&lt;=2.99,"Bajo",IF(P27&lt;=4.99,"Medio bajo",IF(P27&lt;=9.99,"Medio",IF(P27&lt;=14.99,"Medio alto","Alto"))))</f>
        <v>Medio alto</v>
      </c>
      <c r="S27" s="34"/>
      <c r="T27" s="73"/>
      <c r="U27" s="36" t="str">
        <f>IF(P27&lt;=2.99,"Bajo",IF(P27&lt;=4.99,"Medio bajo",IF(P27&lt;=9.99,"Medio",IF(P27&lt;=14.99,"Medio alto","Alto"))))</f>
        <v>Medio alto</v>
      </c>
      <c r="V27" s="79" t="str">
        <f t="shared" ref="V27" si="86">IF(U27="Alto","Se debe crear o modificar un Plan de Continuidad, o bien, si el plan de continuidad existe y no se ha probado se debe concretar una prueba.",IF(AND(U27="Medio Alto"),"Se debe crear o modificar un Plan de Continuidad, o bien, si el plan de continuidad existe y no se ha probado se debe concretar una prueba.",IF(AND(U27="Medio"),"No se requiere actualizar o construir un plan de continuidad, se debe mantener el plan de pruebas.",IF(AND(U27="Medio Bajo"),"No se requiere actualizar o construir un plan de continuidad, se debe mantener el plan de pruebas.",IF(AND(U27="Bajo"),"No se requiere actualizar o construir un plan de continuidad, se debe mantener el plan de pruebas.")))))</f>
        <v>Se debe crear o modificar un Plan de Continuidad, o bien, si el plan de continuidad existe y no se ha probado se debe concretar una prueba.</v>
      </c>
      <c r="W27" s="79" t="s">
        <v>199</v>
      </c>
      <c r="X27" s="84" t="s">
        <v>235</v>
      </c>
    </row>
    <row r="28" spans="2:24" ht="111" customHeight="1" x14ac:dyDescent="0.2">
      <c r="B28" s="26">
        <v>25</v>
      </c>
      <c r="C28" s="80" t="s">
        <v>183</v>
      </c>
      <c r="D28" s="28" t="s">
        <v>7</v>
      </c>
      <c r="E28" s="28" t="s">
        <v>142</v>
      </c>
      <c r="F28" s="29" t="s">
        <v>126</v>
      </c>
      <c r="G28" s="47" t="s">
        <v>148</v>
      </c>
      <c r="H28" s="31" t="s">
        <v>49</v>
      </c>
      <c r="I28" s="32" t="s">
        <v>69</v>
      </c>
      <c r="J28" s="33" t="s">
        <v>125</v>
      </c>
      <c r="K28" s="32" t="s">
        <v>50</v>
      </c>
      <c r="L28" s="34">
        <f t="shared" si="16"/>
        <v>5</v>
      </c>
      <c r="M28" s="34">
        <f t="shared" si="17"/>
        <v>3</v>
      </c>
      <c r="N28" s="34">
        <f t="shared" si="18"/>
        <v>1</v>
      </c>
      <c r="O28" s="35">
        <f t="shared" si="19"/>
        <v>15</v>
      </c>
      <c r="P28" s="35">
        <f t="shared" si="20"/>
        <v>15</v>
      </c>
      <c r="Q28" s="36" t="str">
        <f t="shared" si="21"/>
        <v>Alto</v>
      </c>
      <c r="R28" s="36" t="str">
        <f t="shared" si="22"/>
        <v>Alto</v>
      </c>
      <c r="S28" s="34"/>
      <c r="T28" s="73"/>
      <c r="U28" s="36" t="str">
        <f>IF(P28&lt;=2.99,"Bajo",IF(P28&lt;=4.99,"Medio bajo",IF(P28&lt;=9.99,"Medio",IF(P28&lt;=14.99,"Medio alto","Alto"))))</f>
        <v>Alto</v>
      </c>
      <c r="V28" s="79" t="str">
        <f t="shared" si="25"/>
        <v>Se debe crear o modificar un Plan de Continuidad, o bien, si el plan de continuidad existe y no se ha probado se debe concretar una prueba.</v>
      </c>
      <c r="W28" s="79" t="s">
        <v>212</v>
      </c>
      <c r="X28" s="84" t="s">
        <v>235</v>
      </c>
    </row>
    <row r="29" spans="2:24" ht="111" customHeight="1" x14ac:dyDescent="0.2">
      <c r="B29" s="26">
        <v>26</v>
      </c>
      <c r="C29" s="80" t="s">
        <v>183</v>
      </c>
      <c r="D29" s="28" t="s">
        <v>7</v>
      </c>
      <c r="E29" s="28" t="s">
        <v>170</v>
      </c>
      <c r="F29" s="77" t="s">
        <v>230</v>
      </c>
      <c r="G29" s="47" t="s">
        <v>148</v>
      </c>
      <c r="H29" s="31" t="s">
        <v>49</v>
      </c>
      <c r="I29" s="32" t="s">
        <v>69</v>
      </c>
      <c r="J29" s="33" t="s">
        <v>125</v>
      </c>
      <c r="K29" s="32" t="s">
        <v>50</v>
      </c>
      <c r="L29" s="34">
        <f t="shared" ref="L29:L30" si="87">VALUE(MID(I29,1,1))</f>
        <v>5</v>
      </c>
      <c r="M29" s="34">
        <f t="shared" ref="M29:M30" si="88">VALUE(MID(J29,1,1))</f>
        <v>3</v>
      </c>
      <c r="N29" s="34">
        <f t="shared" ref="N29:N30" si="89">VALUE(MID(K29,1,1))</f>
        <v>1</v>
      </c>
      <c r="O29" s="35">
        <f t="shared" ref="O29:O30" si="90">IF(AND(L29=5,M29=1),10,L29*M29)</f>
        <v>15</v>
      </c>
      <c r="P29" s="35">
        <f t="shared" ref="P29:P30" si="91">O29/N29</f>
        <v>15</v>
      </c>
      <c r="Q29" s="36" t="str">
        <f t="shared" ref="Q29:Q30" si="92">IF(O29&lt;=2.99,"Bajo",IF(O29&lt;=4.99,"Medio bajo",IF(O29&lt;=9.99,"Medio",IF(O29&lt;=14.99,"Medio alto","Alto"))))</f>
        <v>Alto</v>
      </c>
      <c r="R29" s="36" t="str">
        <f t="shared" ref="R29:R30" si="93">IF(P29&lt;=2.99,"Bajo",IF(P29&lt;=4.99,"Medio bajo",IF(P29&lt;=9.99,"Medio",IF(P29&lt;=14.99,"Medio alto","Alto"))))</f>
        <v>Alto</v>
      </c>
      <c r="S29" s="34"/>
      <c r="T29" s="73"/>
      <c r="U29" s="36" t="str">
        <f>IF(P29&lt;=2.99,"Bajo",IF(P29&lt;=4.99,"Medio bajo",IF(P29&lt;=9.99,"Medio",IF(P29&lt;=14.99,"Medio alto","Alto"))))</f>
        <v>Alto</v>
      </c>
      <c r="V29" s="79" t="str">
        <f t="shared" ref="V29:V30" si="94">IF(U29="Alto","Se debe crear o modificar un Plan de Continuidad, o bien, si el plan de continuidad existe y no se ha probado se debe concretar una prueba.",IF(AND(U29="Medio Alto"),"Se debe crear o modificar un Plan de Continuidad, o bien, si el plan de continuidad existe y no se ha probado se debe concretar una prueba.",IF(AND(U29="Medio"),"No se requiere actualizar o construir un plan de continuidad, se debe mantener el plan de pruebas.",IF(AND(U29="Medio Bajo"),"No se requiere actualizar o construir un plan de continuidad, se debe mantener el plan de pruebas.",IF(AND(U29="Bajo"),"No se requiere actualizar o construir un plan de continuidad, se debe mantener el plan de pruebas.")))))</f>
        <v>Se debe crear o modificar un Plan de Continuidad, o bien, si el plan de continuidad existe y no se ha probado se debe concretar una prueba.</v>
      </c>
      <c r="W29" s="79" t="s">
        <v>213</v>
      </c>
      <c r="X29" s="83" t="s">
        <v>245</v>
      </c>
    </row>
    <row r="30" spans="2:24" ht="111" customHeight="1" x14ac:dyDescent="0.2">
      <c r="B30" s="26">
        <v>27</v>
      </c>
      <c r="C30" s="80" t="s">
        <v>183</v>
      </c>
      <c r="D30" s="28" t="s">
        <v>7</v>
      </c>
      <c r="E30" s="28" t="s">
        <v>170</v>
      </c>
      <c r="F30" s="77" t="s">
        <v>171</v>
      </c>
      <c r="G30" s="47" t="s">
        <v>148</v>
      </c>
      <c r="H30" s="31" t="s">
        <v>49</v>
      </c>
      <c r="I30" s="32" t="s">
        <v>69</v>
      </c>
      <c r="J30" s="33" t="s">
        <v>125</v>
      </c>
      <c r="K30" s="32" t="s">
        <v>50</v>
      </c>
      <c r="L30" s="34">
        <f t="shared" si="87"/>
        <v>5</v>
      </c>
      <c r="M30" s="34">
        <f t="shared" si="88"/>
        <v>3</v>
      </c>
      <c r="N30" s="34">
        <f t="shared" si="89"/>
        <v>1</v>
      </c>
      <c r="O30" s="35">
        <f t="shared" si="90"/>
        <v>15</v>
      </c>
      <c r="P30" s="35">
        <f t="shared" si="91"/>
        <v>15</v>
      </c>
      <c r="Q30" s="36" t="str">
        <f t="shared" si="92"/>
        <v>Alto</v>
      </c>
      <c r="R30" s="36" t="str">
        <f t="shared" si="93"/>
        <v>Alto</v>
      </c>
      <c r="S30" s="34"/>
      <c r="T30" s="73"/>
      <c r="U30" s="36" t="str">
        <f>IF(P30&lt;=2.99,"Bajo",IF(P30&lt;=4.99,"Medio bajo",IF(P30&lt;=9.99,"Medio",IF(P30&lt;=14.99,"Medio alto","Alto"))))</f>
        <v>Alto</v>
      </c>
      <c r="V30" s="79" t="str">
        <f t="shared" si="94"/>
        <v>Se debe crear o modificar un Plan de Continuidad, o bien, si el plan de continuidad existe y no se ha probado se debe concretar una prueba.</v>
      </c>
      <c r="W30" s="79" t="s">
        <v>214</v>
      </c>
      <c r="X30" s="83" t="s">
        <v>246</v>
      </c>
    </row>
    <row r="31" spans="2:24" x14ac:dyDescent="0.2">
      <c r="B31" s="22"/>
      <c r="C31" s="22"/>
      <c r="D31" s="22"/>
      <c r="E31" s="22"/>
      <c r="F31" s="22"/>
      <c r="G31" s="22"/>
      <c r="H31" s="22"/>
      <c r="I31" s="22"/>
      <c r="J31" s="22"/>
      <c r="K31" s="22"/>
      <c r="L31" s="22"/>
      <c r="M31" s="22"/>
      <c r="N31" s="22"/>
      <c r="O31" s="23"/>
      <c r="P31" s="23"/>
      <c r="Q31" s="22"/>
      <c r="R31" s="22"/>
      <c r="S31" s="22"/>
      <c r="T31" s="22"/>
      <c r="V31" s="22"/>
    </row>
    <row r="32" spans="2:24" ht="18" x14ac:dyDescent="0.2">
      <c r="B32" s="22"/>
      <c r="C32" s="37" t="s">
        <v>30</v>
      </c>
      <c r="D32" s="99">
        <v>44277</v>
      </c>
      <c r="E32" s="99"/>
      <c r="F32" s="22"/>
      <c r="G32" s="22"/>
      <c r="H32" s="22"/>
      <c r="I32" s="22"/>
      <c r="J32" s="22"/>
      <c r="K32" s="22"/>
      <c r="L32" s="22"/>
      <c r="M32" s="22"/>
      <c r="N32" s="22"/>
      <c r="O32" s="23"/>
      <c r="P32" s="23"/>
      <c r="Q32" s="22"/>
      <c r="R32" s="22"/>
      <c r="S32" s="22"/>
      <c r="T32" s="22"/>
      <c r="U32" s="75" t="s">
        <v>160</v>
      </c>
      <c r="V32" s="76" t="s">
        <v>161</v>
      </c>
    </row>
    <row r="33" spans="2:22" x14ac:dyDescent="0.2">
      <c r="B33" s="22"/>
      <c r="C33" s="37"/>
      <c r="D33" s="38"/>
      <c r="E33" s="38"/>
      <c r="F33" s="22"/>
      <c r="G33" s="22"/>
      <c r="H33" s="22"/>
      <c r="I33" s="22"/>
      <c r="J33" s="22"/>
      <c r="K33" s="22"/>
      <c r="L33" s="22"/>
      <c r="M33" s="22"/>
      <c r="N33" s="22"/>
      <c r="O33" s="23"/>
      <c r="P33" s="23"/>
      <c r="Q33" s="22"/>
      <c r="R33" s="22"/>
      <c r="S33" s="22"/>
      <c r="T33" s="22"/>
      <c r="V33" s="22"/>
    </row>
    <row r="34" spans="2:22" x14ac:dyDescent="0.2">
      <c r="B34" s="22"/>
      <c r="C34" s="37"/>
      <c r="D34" s="100" t="s">
        <v>13</v>
      </c>
      <c r="E34" s="100"/>
      <c r="F34" s="101" t="s">
        <v>31</v>
      </c>
      <c r="G34" s="101"/>
      <c r="H34" s="102"/>
      <c r="I34" s="103" t="s">
        <v>14</v>
      </c>
      <c r="J34" s="101"/>
      <c r="K34" s="102"/>
      <c r="L34" s="22"/>
      <c r="M34" s="22"/>
      <c r="N34" s="22"/>
      <c r="O34" s="23"/>
      <c r="P34" s="23"/>
      <c r="Q34" s="22"/>
      <c r="R34" s="22"/>
      <c r="S34" s="22"/>
      <c r="T34" s="22"/>
      <c r="V34" s="22"/>
    </row>
    <row r="35" spans="2:22" x14ac:dyDescent="0.2">
      <c r="B35" s="22"/>
      <c r="C35" s="37" t="s">
        <v>16</v>
      </c>
      <c r="D35" s="107" t="s">
        <v>118</v>
      </c>
      <c r="E35" s="107"/>
      <c r="F35" s="108" t="s">
        <v>119</v>
      </c>
      <c r="G35" s="108"/>
      <c r="H35" s="109"/>
      <c r="I35" s="110" t="s">
        <v>48</v>
      </c>
      <c r="J35" s="108"/>
      <c r="K35" s="109"/>
      <c r="L35" s="22"/>
      <c r="M35" s="22"/>
      <c r="N35" s="22"/>
      <c r="O35" s="23"/>
      <c r="P35" s="23"/>
      <c r="Q35" s="22"/>
      <c r="R35" s="22"/>
      <c r="S35" s="22"/>
      <c r="T35" s="22"/>
      <c r="V35" s="22"/>
    </row>
    <row r="36" spans="2:22" x14ac:dyDescent="0.2">
      <c r="B36" s="22"/>
      <c r="C36" s="37"/>
      <c r="D36" s="38"/>
      <c r="E36" s="38"/>
      <c r="F36" s="22"/>
      <c r="G36" s="22"/>
      <c r="H36" s="22"/>
      <c r="I36" s="22"/>
      <c r="J36" s="22"/>
      <c r="K36" s="22"/>
      <c r="L36" s="22"/>
      <c r="M36" s="22"/>
      <c r="N36" s="22"/>
      <c r="O36" s="23"/>
      <c r="P36" s="23"/>
      <c r="Q36" s="22"/>
      <c r="R36" s="22"/>
      <c r="S36" s="22"/>
      <c r="T36" s="22"/>
      <c r="V36" s="22"/>
    </row>
    <row r="37" spans="2:22" x14ac:dyDescent="0.2">
      <c r="B37" s="22"/>
      <c r="C37" s="37" t="s">
        <v>17</v>
      </c>
      <c r="D37" s="107" t="s">
        <v>180</v>
      </c>
      <c r="E37" s="107"/>
      <c r="F37" s="108" t="s">
        <v>181</v>
      </c>
      <c r="G37" s="108"/>
      <c r="H37" s="109"/>
      <c r="I37" s="110" t="s">
        <v>48</v>
      </c>
      <c r="J37" s="108"/>
      <c r="K37" s="109"/>
      <c r="L37" s="22"/>
      <c r="M37" s="22"/>
      <c r="N37" s="22"/>
      <c r="O37" s="23"/>
      <c r="P37" s="23"/>
      <c r="Q37" s="22"/>
      <c r="R37" s="22"/>
      <c r="S37" s="22"/>
      <c r="T37" s="22"/>
      <c r="V37" s="22"/>
    </row>
  </sheetData>
  <mergeCells count="15">
    <mergeCell ref="D35:E35"/>
    <mergeCell ref="F35:H35"/>
    <mergeCell ref="I35:K35"/>
    <mergeCell ref="D37:E37"/>
    <mergeCell ref="F37:H37"/>
    <mergeCell ref="I37:K37"/>
    <mergeCell ref="C1:G1"/>
    <mergeCell ref="C2:G2"/>
    <mergeCell ref="H2:I2"/>
    <mergeCell ref="D32:E32"/>
    <mergeCell ref="D34:E34"/>
    <mergeCell ref="F34:H34"/>
    <mergeCell ref="I34:K34"/>
    <mergeCell ref="G9:V9"/>
    <mergeCell ref="H6:V6"/>
  </mergeCells>
  <conditionalFormatting sqref="G4:G6">
    <cfRule type="cellIs" dxfId="156" priority="108" stopIfTrue="1" operator="equal">
      <formula>"B"</formula>
    </cfRule>
    <cfRule type="cellIs" dxfId="155" priority="110" stopIfTrue="1" operator="equal">
      <formula>"D"</formula>
    </cfRule>
    <cfRule type="cellIs" dxfId="154" priority="109" stopIfTrue="1" operator="equal">
      <formula>"C"</formula>
    </cfRule>
  </conditionalFormatting>
  <conditionalFormatting sqref="G7:G8">
    <cfRule type="cellIs" dxfId="153" priority="722" stopIfTrue="1" operator="equal">
      <formula>"D"</formula>
    </cfRule>
    <cfRule type="cellIs" dxfId="152" priority="721" stopIfTrue="1" operator="equal">
      <formula>"C"</formula>
    </cfRule>
    <cfRule type="cellIs" dxfId="151" priority="720" stopIfTrue="1" operator="equal">
      <formula>"B"</formula>
    </cfRule>
  </conditionalFormatting>
  <conditionalFormatting sqref="G10:G30">
    <cfRule type="cellIs" dxfId="150" priority="220" stopIfTrue="1" operator="equal">
      <formula>"C"</formula>
    </cfRule>
    <cfRule type="cellIs" dxfId="149" priority="221" stopIfTrue="1" operator="equal">
      <formula>"D"</formula>
    </cfRule>
    <cfRule type="cellIs" dxfId="148" priority="219" stopIfTrue="1" operator="equal">
      <formula>"B"</formula>
    </cfRule>
  </conditionalFormatting>
  <conditionalFormatting sqref="I4:I5">
    <cfRule type="expression" dxfId="147" priority="107">
      <formula>I4="5 alto"</formula>
    </cfRule>
    <cfRule type="expression" dxfId="146" priority="106">
      <formula>I4="3 medio"</formula>
    </cfRule>
    <cfRule type="expression" dxfId="145" priority="105">
      <formula>I4="2 medio bajo"</formula>
    </cfRule>
    <cfRule type="expression" dxfId="144" priority="104">
      <formula>I4="1 bajo"</formula>
    </cfRule>
    <cfRule type="expression" dxfId="143" priority="103">
      <formula>I4="4 medio alto"</formula>
    </cfRule>
  </conditionalFormatting>
  <conditionalFormatting sqref="I7:I8">
    <cfRule type="expression" dxfId="142" priority="750">
      <formula>I7="5 alto"</formula>
    </cfRule>
    <cfRule type="expression" dxfId="141" priority="749">
      <formula>I7="3 medio"</formula>
    </cfRule>
    <cfRule type="expression" dxfId="140" priority="748">
      <formula>I7="2 medio bajo"</formula>
    </cfRule>
    <cfRule type="expression" dxfId="139" priority="747">
      <formula>I7="1 bajo"</formula>
    </cfRule>
    <cfRule type="expression" dxfId="138" priority="746">
      <formula>I7="4 medio alto"</formula>
    </cfRule>
  </conditionalFormatting>
  <conditionalFormatting sqref="I10:I30">
    <cfRule type="expression" dxfId="137" priority="214">
      <formula>I10="4 medio alto"</formula>
    </cfRule>
    <cfRule type="expression" dxfId="136" priority="215">
      <formula>I10="1 bajo"</formula>
    </cfRule>
    <cfRule type="expression" dxfId="135" priority="216">
      <formula>I10="2 medio bajo"</formula>
    </cfRule>
    <cfRule type="expression" dxfId="134" priority="217">
      <formula>I10="3 medio"</formula>
    </cfRule>
    <cfRule type="expression" dxfId="133" priority="218">
      <formula>I10="5 alto"</formula>
    </cfRule>
  </conditionalFormatting>
  <conditionalFormatting sqref="J4:J5">
    <cfRule type="expression" dxfId="132" priority="94">
      <formula>J4="4 Frecuente"</formula>
    </cfRule>
    <cfRule type="expression" dxfId="131" priority="95">
      <formula>J4="1 Muy Poco Probable"</formula>
    </cfRule>
    <cfRule type="expression" dxfId="130" priority="96">
      <formula>J4="2 Poco Probable"</formula>
    </cfRule>
    <cfRule type="expression" dxfId="129" priority="97">
      <formula>J4="3 Ocasional"</formula>
    </cfRule>
    <cfRule type="expression" dxfId="128" priority="98">
      <formula>J4="5 Muy Frecuente"</formula>
    </cfRule>
  </conditionalFormatting>
  <conditionalFormatting sqref="J7:J8">
    <cfRule type="expression" dxfId="127" priority="737">
      <formula>J7="4 Frecuente"</formula>
    </cfRule>
    <cfRule type="expression" dxfId="126" priority="738">
      <formula>J7="1 Muy Poco Probable"</formula>
    </cfRule>
    <cfRule type="expression" dxfId="125" priority="739">
      <formula>J7="2 Poco Probable"</formula>
    </cfRule>
    <cfRule type="expression" dxfId="124" priority="740">
      <formula>J7="3 Ocasional"</formula>
    </cfRule>
    <cfRule type="expression" dxfId="123" priority="741">
      <formula>J7="5 Muy Frecuente"</formula>
    </cfRule>
  </conditionalFormatting>
  <conditionalFormatting sqref="J10:J30">
    <cfRule type="expression" dxfId="122" priority="207">
      <formula>J10="2 Poco Probable"</formula>
    </cfRule>
    <cfRule type="expression" dxfId="121" priority="206">
      <formula>J10="1 Muy Poco Probable"</formula>
    </cfRule>
    <cfRule type="expression" dxfId="120" priority="205">
      <formula>J10="4 Frecuente"</formula>
    </cfRule>
    <cfRule type="expression" dxfId="119" priority="208">
      <formula>J10="3 Ocasional"</formula>
    </cfRule>
    <cfRule type="expression" dxfId="118" priority="209">
      <formula>J10="5 Muy Frecuente"</formula>
    </cfRule>
  </conditionalFormatting>
  <conditionalFormatting sqref="K4:K5">
    <cfRule type="expression" dxfId="117" priority="100">
      <formula>K4="4 Bueno"</formula>
    </cfRule>
    <cfRule type="expression" dxfId="116" priority="99">
      <formula>K4="2 Regular"</formula>
    </cfRule>
    <cfRule type="expression" dxfId="115" priority="93">
      <formula>K4="5 Optimo"</formula>
    </cfRule>
    <cfRule type="expression" dxfId="114" priority="101">
      <formula>K4="3 Suficiente"</formula>
    </cfRule>
    <cfRule type="expression" dxfId="113" priority="102">
      <formula>K4="1 Deficiente"</formula>
    </cfRule>
  </conditionalFormatting>
  <conditionalFormatting sqref="K7:K8">
    <cfRule type="expression" dxfId="112" priority="743">
      <formula>K7="4 Bueno"</formula>
    </cfRule>
    <cfRule type="expression" dxfId="111" priority="742">
      <formula>K7="2 Regular"</formula>
    </cfRule>
    <cfRule type="expression" dxfId="110" priority="745">
      <formula>K7="1 Deficiente"</formula>
    </cfRule>
    <cfRule type="expression" dxfId="109" priority="744">
      <formula>K7="3 Suficiente"</formula>
    </cfRule>
    <cfRule type="expression" dxfId="108" priority="736">
      <formula>K7="5 Optimo"</formula>
    </cfRule>
  </conditionalFormatting>
  <conditionalFormatting sqref="K10:K30">
    <cfRule type="expression" dxfId="107" priority="210">
      <formula>K10="2 Regular"</formula>
    </cfRule>
    <cfRule type="expression" dxfId="106" priority="204">
      <formula>K10="5 Optimo"</formula>
    </cfRule>
    <cfRule type="expression" dxfId="105" priority="212">
      <formula>K10="3 Suficiente"</formula>
    </cfRule>
    <cfRule type="expression" dxfId="104" priority="211">
      <formula>K10="4 Bueno"</formula>
    </cfRule>
    <cfRule type="expression" dxfId="103" priority="213">
      <formula>K10="1 Deficiente"</formula>
    </cfRule>
  </conditionalFormatting>
  <conditionalFormatting sqref="Q4:R5">
    <cfRule type="cellIs" dxfId="102" priority="83" stopIfTrue="1" operator="equal">
      <formula>"Medio Alto"</formula>
    </cfRule>
    <cfRule type="cellIs" dxfId="101" priority="84" stopIfTrue="1" operator="equal">
      <formula>"Bajo"</formula>
    </cfRule>
    <cfRule type="cellIs" dxfId="100" priority="85" stopIfTrue="1" operator="equal">
      <formula>"Alto"</formula>
    </cfRule>
    <cfRule type="cellIs" dxfId="99" priority="86" stopIfTrue="1" operator="equal">
      <formula>"Medio"</formula>
    </cfRule>
    <cfRule type="cellIs" dxfId="98" priority="87" stopIfTrue="1" operator="equal">
      <formula>"Medio Bajo"</formula>
    </cfRule>
  </conditionalFormatting>
  <conditionalFormatting sqref="Q7:R8 U7:V8">
    <cfRule type="cellIs" dxfId="97" priority="733" stopIfTrue="1" operator="equal">
      <formula>"Alto"</formula>
    </cfRule>
    <cfRule type="cellIs" dxfId="96" priority="735" stopIfTrue="1" operator="equal">
      <formula>"Medio Bajo"</formula>
    </cfRule>
    <cfRule type="cellIs" dxfId="95" priority="734" stopIfTrue="1" operator="equal">
      <formula>"Medio"</formula>
    </cfRule>
    <cfRule type="cellIs" dxfId="94" priority="732" stopIfTrue="1" operator="equal">
      <formula>"Bajo"</formula>
    </cfRule>
  </conditionalFormatting>
  <conditionalFormatting sqref="Q10:R30 V15:V17">
    <cfRule type="cellIs" dxfId="93" priority="200" stopIfTrue="1" operator="equal">
      <formula>"Bajo"</formula>
    </cfRule>
    <cfRule type="cellIs" dxfId="92" priority="201" stopIfTrue="1" operator="equal">
      <formula>"Alto"</formula>
    </cfRule>
    <cfRule type="cellIs" dxfId="91" priority="202" stopIfTrue="1" operator="equal">
      <formula>"Medio"</formula>
    </cfRule>
    <cfRule type="cellIs" dxfId="90" priority="203" stopIfTrue="1" operator="equal">
      <formula>"Medio Bajo"</formula>
    </cfRule>
  </conditionalFormatting>
  <conditionalFormatting sqref="U15:U17">
    <cfRule type="cellIs" dxfId="89" priority="196" stopIfTrue="1" operator="equal">
      <formula>"Medio Bajo"</formula>
    </cfRule>
    <cfRule type="cellIs" dxfId="88" priority="194" stopIfTrue="1" operator="equal">
      <formula>"Alto"</formula>
    </cfRule>
    <cfRule type="cellIs" dxfId="87" priority="192" stopIfTrue="1" operator="equal">
      <formula>"Medio Alto"</formula>
    </cfRule>
    <cfRule type="cellIs" dxfId="86" priority="193" stopIfTrue="1" operator="equal">
      <formula>"Bajo"</formula>
    </cfRule>
    <cfRule type="cellIs" dxfId="85" priority="195" stopIfTrue="1" operator="equal">
      <formula>"Medio"</formula>
    </cfRule>
  </conditionalFormatting>
  <conditionalFormatting sqref="U19:U24">
    <cfRule type="cellIs" dxfId="84" priority="222" stopIfTrue="1" operator="equal">
      <formula>"Medio Alto"</formula>
    </cfRule>
    <cfRule type="cellIs" dxfId="83" priority="223" stopIfTrue="1" operator="equal">
      <formula>"Bajo"</formula>
    </cfRule>
    <cfRule type="cellIs" dxfId="82" priority="224" stopIfTrue="1" operator="equal">
      <formula>"Alto"</formula>
    </cfRule>
    <cfRule type="cellIs" dxfId="81" priority="225" stopIfTrue="1" operator="equal">
      <formula>"Medio"</formula>
    </cfRule>
    <cfRule type="cellIs" dxfId="80" priority="226" stopIfTrue="1" operator="equal">
      <formula>"Medio Bajo"</formula>
    </cfRule>
  </conditionalFormatting>
  <conditionalFormatting sqref="U32">
    <cfRule type="cellIs" dxfId="79" priority="1161" operator="equal">
      <formula>"Alto"</formula>
    </cfRule>
    <cfRule type="cellIs" dxfId="78" priority="1162" operator="equal">
      <formula>"Medio Alto"</formula>
    </cfRule>
    <cfRule type="cellIs" dxfId="77" priority="1164" operator="equal">
      <formula>"Medio Bajo"</formula>
    </cfRule>
    <cfRule type="cellIs" dxfId="76" priority="1165" operator="equal">
      <formula>"Bajo"</formula>
    </cfRule>
    <cfRule type="cellIs" dxfId="75" priority="1163" operator="equal">
      <formula>"Medio"</formula>
    </cfRule>
  </conditionalFormatting>
  <conditionalFormatting sqref="U5:V5">
    <cfRule type="cellIs" dxfId="74" priority="66" stopIfTrue="1" operator="equal">
      <formula>"Medio Alto"</formula>
    </cfRule>
  </conditionalFormatting>
  <conditionalFormatting sqref="U7:V8 Q7:R8">
    <cfRule type="cellIs" dxfId="73" priority="731" stopIfTrue="1" operator="equal">
      <formula>"Medio Alto"</formula>
    </cfRule>
  </conditionalFormatting>
  <conditionalFormatting sqref="U10:V14">
    <cfRule type="cellIs" dxfId="72" priority="1131" stopIfTrue="1" operator="equal">
      <formula>"Alto"</formula>
    </cfRule>
    <cfRule type="cellIs" dxfId="71" priority="1132" stopIfTrue="1" operator="equal">
      <formula>"Medio"</formula>
    </cfRule>
    <cfRule type="cellIs" dxfId="70" priority="1133" stopIfTrue="1" operator="equal">
      <formula>"Medio Bajo"</formula>
    </cfRule>
    <cfRule type="cellIs" dxfId="69" priority="1129" stopIfTrue="1" operator="equal">
      <formula>"Medio Alto"</formula>
    </cfRule>
    <cfRule type="cellIs" dxfId="68" priority="1130" stopIfTrue="1" operator="equal">
      <formula>"Bajo"</formula>
    </cfRule>
  </conditionalFormatting>
  <conditionalFormatting sqref="U25:V30">
    <cfRule type="cellIs" dxfId="67" priority="230" stopIfTrue="1" operator="equal">
      <formula>"Medio"</formula>
    </cfRule>
    <cfRule type="cellIs" dxfId="66" priority="231" stopIfTrue="1" operator="equal">
      <formula>"Medio Bajo"</formula>
    </cfRule>
    <cfRule type="cellIs" dxfId="65" priority="228" stopIfTrue="1" operator="equal">
      <formula>"Bajo"</formula>
    </cfRule>
    <cfRule type="cellIs" dxfId="64" priority="227" stopIfTrue="1" operator="equal">
      <formula>"Medio Alto"</formula>
    </cfRule>
    <cfRule type="cellIs" dxfId="63" priority="229" stopIfTrue="1" operator="equal">
      <formula>"Alto"</formula>
    </cfRule>
  </conditionalFormatting>
  <conditionalFormatting sqref="U5:W5">
    <cfRule type="cellIs" dxfId="62" priority="70" stopIfTrue="1" operator="equal">
      <formula>"Medio Bajo"</formula>
    </cfRule>
    <cfRule type="cellIs" dxfId="61" priority="69" stopIfTrue="1" operator="equal">
      <formula>"Medio"</formula>
    </cfRule>
    <cfRule type="cellIs" dxfId="60" priority="68" stopIfTrue="1" operator="equal">
      <formula>"Alto"</formula>
    </cfRule>
    <cfRule type="cellIs" dxfId="59" priority="67" stopIfTrue="1" operator="equal">
      <formula>"Bajo"</formula>
    </cfRule>
  </conditionalFormatting>
  <conditionalFormatting sqref="U4:X4">
    <cfRule type="cellIs" dxfId="58" priority="580" stopIfTrue="1" operator="equal">
      <formula>"Medio Alto"</formula>
    </cfRule>
    <cfRule type="cellIs" dxfId="57" priority="581" stopIfTrue="1" operator="equal">
      <formula>"Bajo"</formula>
    </cfRule>
    <cfRule type="cellIs" dxfId="56" priority="582" stopIfTrue="1" operator="equal">
      <formula>"Alto"</formula>
    </cfRule>
    <cfRule type="cellIs" dxfId="55" priority="583" stopIfTrue="1" operator="equal">
      <formula>"Medio"</formula>
    </cfRule>
    <cfRule type="cellIs" dxfId="54" priority="584" stopIfTrue="1" operator="equal">
      <formula>"Medio Bajo"</formula>
    </cfRule>
  </conditionalFormatting>
  <conditionalFormatting sqref="U18:X18">
    <cfRule type="cellIs" dxfId="53" priority="447" stopIfTrue="1" operator="equal">
      <formula>"Medio Alto"</formula>
    </cfRule>
    <cfRule type="cellIs" dxfId="52" priority="448" stopIfTrue="1" operator="equal">
      <formula>"Bajo"</formula>
    </cfRule>
    <cfRule type="cellIs" dxfId="51" priority="451" stopIfTrue="1" operator="equal">
      <formula>"Medio Bajo"</formula>
    </cfRule>
    <cfRule type="cellIs" dxfId="50" priority="449" stopIfTrue="1" operator="equal">
      <formula>"Alto"</formula>
    </cfRule>
    <cfRule type="cellIs" dxfId="49" priority="450" stopIfTrue="1" operator="equal">
      <formula>"Medio"</formula>
    </cfRule>
  </conditionalFormatting>
  <conditionalFormatting sqref="V5">
    <cfRule type="cellIs" dxfId="48" priority="64" stopIfTrue="1" operator="equal">
      <formula>"SI"</formula>
    </cfRule>
    <cfRule type="cellIs" dxfId="47" priority="65" stopIfTrue="1" operator="equal">
      <formula>"Medio Alto"</formula>
    </cfRule>
  </conditionalFormatting>
  <conditionalFormatting sqref="V7:V8">
    <cfRule type="cellIs" dxfId="46" priority="729" stopIfTrue="1" operator="equal">
      <formula>"SI"</formula>
    </cfRule>
    <cfRule type="cellIs" dxfId="45" priority="730" stopIfTrue="1" operator="equal">
      <formula>"Medio Alto"</formula>
    </cfRule>
  </conditionalFormatting>
  <conditionalFormatting sqref="V10:V30">
    <cfRule type="cellIs" dxfId="44" priority="197" stopIfTrue="1" operator="equal">
      <formula>"SI"</formula>
    </cfRule>
    <cfRule type="cellIs" dxfId="43" priority="198" stopIfTrue="1" operator="equal">
      <formula>"Medio Alto"</formula>
    </cfRule>
  </conditionalFormatting>
  <conditionalFormatting sqref="V15:V17 Q10:R30">
    <cfRule type="cellIs" dxfId="42" priority="199" stopIfTrue="1" operator="equal">
      <formula>"Medio Alto"</formula>
    </cfRule>
  </conditionalFormatting>
  <conditionalFormatting sqref="V23:V24">
    <cfRule type="cellIs" dxfId="41" priority="879" stopIfTrue="1" operator="equal">
      <formula>"Medio Bajo"</formula>
    </cfRule>
    <cfRule type="cellIs" dxfId="40" priority="878" stopIfTrue="1" operator="equal">
      <formula>"Medio"</formula>
    </cfRule>
    <cfRule type="cellIs" dxfId="39" priority="877" stopIfTrue="1" operator="equal">
      <formula>"Alto"</formula>
    </cfRule>
    <cfRule type="cellIs" dxfId="38" priority="876" stopIfTrue="1" operator="equal">
      <formula>"Bajo"</formula>
    </cfRule>
    <cfRule type="cellIs" dxfId="37" priority="875" stopIfTrue="1" operator="equal">
      <formula>"Medio Alto"</formula>
    </cfRule>
  </conditionalFormatting>
  <conditionalFormatting sqref="V19:W22">
    <cfRule type="cellIs" dxfId="36" priority="407" stopIfTrue="1" operator="equal">
      <formula>"Alto"</formula>
    </cfRule>
    <cfRule type="cellIs" dxfId="35" priority="406" stopIfTrue="1" operator="equal">
      <formula>"Bajo"</formula>
    </cfRule>
    <cfRule type="cellIs" dxfId="34" priority="405" stopIfTrue="1" operator="equal">
      <formula>"Medio Alto"</formula>
    </cfRule>
    <cfRule type="cellIs" dxfId="33" priority="409" stopIfTrue="1" operator="equal">
      <formula>"Medio Bajo"</formula>
    </cfRule>
    <cfRule type="cellIs" dxfId="32" priority="408" stopIfTrue="1" operator="equal">
      <formula>"Medio"</formula>
    </cfRule>
  </conditionalFormatting>
  <conditionalFormatting sqref="V4:X4">
    <cfRule type="cellIs" dxfId="31" priority="578" stopIfTrue="1" operator="equal">
      <formula>"SI"</formula>
    </cfRule>
    <cfRule type="cellIs" dxfId="30" priority="579" stopIfTrue="1" operator="equal">
      <formula>"Medio Alto"</formula>
    </cfRule>
  </conditionalFormatting>
  <conditionalFormatting sqref="W6:W16">
    <cfRule type="cellIs" dxfId="29" priority="162" stopIfTrue="1" operator="equal">
      <formula>"Medio"</formula>
    </cfRule>
    <cfRule type="cellIs" dxfId="28" priority="161" stopIfTrue="1" operator="equal">
      <formula>"Alto"</formula>
    </cfRule>
    <cfRule type="cellIs" dxfId="27" priority="163" stopIfTrue="1" operator="equal">
      <formula>"Medio Bajo"</formula>
    </cfRule>
    <cfRule type="cellIs" dxfId="26" priority="160" stopIfTrue="1" operator="equal">
      <formula>"Bajo"</formula>
    </cfRule>
  </conditionalFormatting>
  <conditionalFormatting sqref="W23:W25">
    <cfRule type="cellIs" dxfId="25" priority="353" stopIfTrue="1" operator="equal">
      <formula>"Medio Bajo"</formula>
    </cfRule>
    <cfRule type="cellIs" dxfId="24" priority="352" stopIfTrue="1" operator="equal">
      <formula>"Medio"</formula>
    </cfRule>
    <cfRule type="cellIs" dxfId="23" priority="351" stopIfTrue="1" operator="equal">
      <formula>"Alto"</formula>
    </cfRule>
    <cfRule type="cellIs" dxfId="22" priority="350" stopIfTrue="1" operator="equal">
      <formula>"Bajo"</formula>
    </cfRule>
    <cfRule type="cellIs" dxfId="21" priority="349" stopIfTrue="1" operator="equal">
      <formula>"Medio Alto"</formula>
    </cfRule>
  </conditionalFormatting>
  <conditionalFormatting sqref="W5:X17">
    <cfRule type="cellIs" dxfId="20" priority="3" stopIfTrue="1" operator="equal">
      <formula>"Medio Alto"</formula>
    </cfRule>
  </conditionalFormatting>
  <conditionalFormatting sqref="W5:X30">
    <cfRule type="cellIs" dxfId="19" priority="1" stopIfTrue="1" operator="equal">
      <formula>"SI"</formula>
    </cfRule>
    <cfRule type="cellIs" dxfId="18" priority="2" stopIfTrue="1" operator="equal">
      <formula>"Medio Alto"</formula>
    </cfRule>
  </conditionalFormatting>
  <conditionalFormatting sqref="W17:X17">
    <cfRule type="cellIs" dxfId="17" priority="4" stopIfTrue="1" operator="equal">
      <formula>"Bajo"</formula>
    </cfRule>
    <cfRule type="cellIs" dxfId="16" priority="5" stopIfTrue="1" operator="equal">
      <formula>"Alto"</formula>
    </cfRule>
    <cfRule type="cellIs" dxfId="15" priority="6" stopIfTrue="1" operator="equal">
      <formula>"Medio"</formula>
    </cfRule>
    <cfRule type="cellIs" dxfId="14" priority="7" stopIfTrue="1" operator="equal">
      <formula>"Medio Bajo"</formula>
    </cfRule>
  </conditionalFormatting>
  <conditionalFormatting sqref="W26:X30">
    <cfRule type="cellIs" dxfId="13" priority="14" stopIfTrue="1" operator="equal">
      <formula>"Medio Bajo"</formula>
    </cfRule>
    <cfRule type="cellIs" dxfId="12" priority="12" stopIfTrue="1" operator="equal">
      <formula>"Alto"</formula>
    </cfRule>
    <cfRule type="cellIs" dxfId="11" priority="11" stopIfTrue="1" operator="equal">
      <formula>"Bajo"</formula>
    </cfRule>
    <cfRule type="cellIs" dxfId="10" priority="10" stopIfTrue="1" operator="equal">
      <formula>"Medio Alto"</formula>
    </cfRule>
    <cfRule type="cellIs" dxfId="9" priority="13" stopIfTrue="1" operator="equal">
      <formula>"Medio"</formula>
    </cfRule>
  </conditionalFormatting>
  <conditionalFormatting sqref="X5:X16">
    <cfRule type="cellIs" dxfId="8" priority="39" stopIfTrue="1" operator="equal">
      <formula>"Bajo"</formula>
    </cfRule>
    <cfRule type="cellIs" dxfId="7" priority="40" stopIfTrue="1" operator="equal">
      <formula>"Alto"</formula>
    </cfRule>
    <cfRule type="cellIs" dxfId="6" priority="41" stopIfTrue="1" operator="equal">
      <formula>"Medio"</formula>
    </cfRule>
    <cfRule type="cellIs" dxfId="5" priority="42" stopIfTrue="1" operator="equal">
      <formula>"Medio Bajo"</formula>
    </cfRule>
  </conditionalFormatting>
  <conditionalFormatting sqref="X19:X25">
    <cfRule type="cellIs" dxfId="4" priority="17" stopIfTrue="1" operator="equal">
      <formula>"Medio Alto"</formula>
    </cfRule>
    <cfRule type="cellIs" dxfId="3" priority="21" stopIfTrue="1" operator="equal">
      <formula>"Medio Bajo"</formula>
    </cfRule>
    <cfRule type="cellIs" dxfId="2" priority="19" stopIfTrue="1" operator="equal">
      <formula>"Alto"</formula>
    </cfRule>
    <cfRule type="cellIs" dxfId="1" priority="18" stopIfTrue="1" operator="equal">
      <formula>"Bajo"</formula>
    </cfRule>
    <cfRule type="cellIs" dxfId="0" priority="20" stopIfTrue="1" operator="equal">
      <formula>"Medio"</formula>
    </cfRule>
  </conditionalFormatting>
  <dataValidations count="7">
    <dataValidation type="decimal" errorStyle="information" showInputMessage="1" showErrorMessage="1" errorTitle="Mensaje de error:" error="El valor ingresado debe ser entre 1% y 100%" sqref="S8 S10:S11 S19:S25 S27:S30 S16:S17 S5" xr:uid="{00000000-0002-0000-0200-000000000000}">
      <formula1>0.01</formula1>
      <formula2>1</formula2>
    </dataValidation>
    <dataValidation type="list" allowBlank="1" showInputMessage="1" showErrorMessage="1" sqref="H7:H8 H4:H5 H10:H30" xr:uid="{00000000-0002-0000-0200-000001000000}">
      <formula1>"Clientes, Reputacional, Operacional, Normativo, Financiero"</formula1>
    </dataValidation>
    <dataValidation type="list" allowBlank="1" showInputMessage="1" showErrorMessage="1" sqref="I7:I8 I4:I5 I10:I30" xr:uid="{00000000-0002-0000-0200-000002000000}">
      <formula1>"1 Bajo,  2 Medio Bajo,3 Medio, 4 Medio Alto, 5 Alto"</formula1>
    </dataValidation>
    <dataValidation type="list" allowBlank="1" showInputMessage="1" showErrorMessage="1" sqref="K7:K8 K4:K5 K10:K30" xr:uid="{00000000-0002-0000-0200-000003000000}">
      <formula1>"1 Deficiente, 2 Regular, 3 Suficiente, 4 Bueno, 5 Optimo"</formula1>
    </dataValidation>
    <dataValidation type="list" allowBlank="1" showInputMessage="1" showErrorMessage="1" sqref="J7:J8 J4:J5 J10:J30" xr:uid="{00000000-0002-0000-0200-000004000000}">
      <formula1>"1 Muy Poco Probable,2 Poco Probable, 3 Ocasional, 4 Frecuente, 5 Muy Frecuente"</formula1>
    </dataValidation>
    <dataValidation type="list" allowBlank="1" showInputMessage="1" showErrorMessage="1" sqref="U32" xr:uid="{00000000-0002-0000-0200-000006000000}">
      <formula1>"Bajo, Medio Bajo, Medio, Medio Alto, Alto"</formula1>
    </dataValidation>
    <dataValidation type="list" allowBlank="1" showInputMessage="1" showErrorMessage="1" sqref="D4:D30" xr:uid="{00000000-0002-0000-0200-000005000000}">
      <formula1>Riesgo_de_Pérdida</formula1>
    </dataValidation>
  </dataValidations>
  <pageMargins left="0.15748031496062992" right="0.15748031496062992" top="0.31496062992125984" bottom="0.31496062992125984" header="0.23622047244094491" footer="0.23622047244094491"/>
  <pageSetup scale="59" fitToHeight="3" orientation="landscape" horizontalDpi="4294967294" verticalDpi="4294967294" r:id="rId1"/>
  <headerFooter alignWithMargins="0"/>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G8"/>
  <sheetViews>
    <sheetView showGridLines="0" topLeftCell="A21" zoomScaleNormal="100" workbookViewId="0">
      <selection activeCell="D3" sqref="D3"/>
    </sheetView>
  </sheetViews>
  <sheetFormatPr baseColWidth="10" defaultColWidth="11.5703125" defaultRowHeight="15" x14ac:dyDescent="0.25"/>
  <cols>
    <col min="1" max="1" width="2.140625" style="16" customWidth="1"/>
    <col min="2" max="2" width="9.85546875" style="16" customWidth="1"/>
    <col min="3" max="3" width="90" style="16" customWidth="1"/>
    <col min="4" max="4" width="35.28515625" style="16" customWidth="1"/>
    <col min="5" max="5" width="18.7109375" style="16" customWidth="1"/>
    <col min="6" max="6" width="14.28515625" style="16" customWidth="1"/>
    <col min="7" max="7" width="15.5703125" style="16" customWidth="1"/>
    <col min="8" max="16384" width="11.5703125" style="16"/>
  </cols>
  <sheetData>
    <row r="2" spans="2:7" ht="25.5" x14ac:dyDescent="0.25">
      <c r="B2" s="53" t="s">
        <v>112</v>
      </c>
      <c r="C2" s="15" t="s">
        <v>97</v>
      </c>
      <c r="D2" s="15"/>
      <c r="E2" s="15" t="s">
        <v>98</v>
      </c>
      <c r="F2" s="15" t="s">
        <v>99</v>
      </c>
      <c r="G2" s="15" t="s">
        <v>100</v>
      </c>
    </row>
    <row r="3" spans="2:7" x14ac:dyDescent="0.25">
      <c r="B3" s="54" t="s">
        <v>200</v>
      </c>
      <c r="C3" s="18" t="s">
        <v>216</v>
      </c>
      <c r="D3" s="18" t="s">
        <v>201</v>
      </c>
      <c r="E3" s="82" t="s">
        <v>215</v>
      </c>
      <c r="F3" s="41" t="s">
        <v>101</v>
      </c>
      <c r="G3" s="41" t="s">
        <v>102</v>
      </c>
    </row>
    <row r="4" spans="2:7" x14ac:dyDescent="0.25">
      <c r="B4" s="57" t="s">
        <v>152</v>
      </c>
      <c r="C4" s="17" t="s">
        <v>153</v>
      </c>
      <c r="D4" s="17" t="s">
        <v>202</v>
      </c>
      <c r="E4" s="40">
        <v>43390</v>
      </c>
      <c r="F4" s="39" t="s">
        <v>101</v>
      </c>
      <c r="G4" s="39" t="s">
        <v>102</v>
      </c>
    </row>
    <row r="5" spans="2:7" x14ac:dyDescent="0.25">
      <c r="B5" s="54" t="s">
        <v>113</v>
      </c>
      <c r="C5" s="18" t="s">
        <v>150</v>
      </c>
      <c r="D5" s="18" t="s">
        <v>203</v>
      </c>
      <c r="E5" s="55">
        <v>43384</v>
      </c>
      <c r="F5" s="41" t="s">
        <v>101</v>
      </c>
      <c r="G5" s="41" t="s">
        <v>102</v>
      </c>
    </row>
    <row r="6" spans="2:7" x14ac:dyDescent="0.25">
      <c r="B6" s="57" t="s">
        <v>114</v>
      </c>
      <c r="C6" s="17" t="s">
        <v>110</v>
      </c>
      <c r="D6" s="17" t="s">
        <v>203</v>
      </c>
      <c r="E6" s="40">
        <v>43461</v>
      </c>
      <c r="F6" s="39" t="s">
        <v>101</v>
      </c>
      <c r="G6" s="39" t="s">
        <v>102</v>
      </c>
    </row>
    <row r="7" spans="2:7" x14ac:dyDescent="0.25">
      <c r="B7" s="54" t="s">
        <v>115</v>
      </c>
      <c r="C7" s="18" t="s">
        <v>111</v>
      </c>
      <c r="D7" s="18" t="s">
        <v>204</v>
      </c>
      <c r="E7" s="55">
        <v>43427</v>
      </c>
      <c r="F7" s="41" t="s">
        <v>101</v>
      </c>
      <c r="G7" s="41" t="s">
        <v>102</v>
      </c>
    </row>
    <row r="8" spans="2:7" x14ac:dyDescent="0.25">
      <c r="B8" s="57" t="s">
        <v>158</v>
      </c>
      <c r="C8" s="17" t="s">
        <v>159</v>
      </c>
      <c r="D8" s="17" t="s">
        <v>205</v>
      </c>
      <c r="E8" s="40"/>
      <c r="F8" s="39" t="s">
        <v>101</v>
      </c>
      <c r="G8" s="39" t="s">
        <v>102</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sheetPr>
  <dimension ref="B2:C23"/>
  <sheetViews>
    <sheetView showGridLines="0" zoomScale="110" zoomScaleNormal="110" workbookViewId="0">
      <selection activeCell="B14" sqref="B14:B18"/>
    </sheetView>
  </sheetViews>
  <sheetFormatPr baseColWidth="10" defaultColWidth="11.5703125" defaultRowHeight="12.75" x14ac:dyDescent="0.2"/>
  <cols>
    <col min="1" max="1" width="11.5703125" style="14"/>
    <col min="2" max="2" width="18.28515625" style="14" customWidth="1"/>
    <col min="3" max="3" width="93" style="14" customWidth="1"/>
    <col min="4" max="16384" width="11.5703125" style="14"/>
  </cols>
  <sheetData>
    <row r="2" spans="2:3" x14ac:dyDescent="0.2">
      <c r="B2" s="42" t="s">
        <v>5</v>
      </c>
      <c r="C2" s="42" t="s">
        <v>15</v>
      </c>
    </row>
    <row r="3" spans="2:3" ht="25.5" x14ac:dyDescent="0.2">
      <c r="B3" s="111" t="s">
        <v>52</v>
      </c>
      <c r="C3" s="43" t="s">
        <v>45</v>
      </c>
    </row>
    <row r="4" spans="2:3" x14ac:dyDescent="0.2">
      <c r="B4" s="112"/>
      <c r="C4" s="44" t="s">
        <v>105</v>
      </c>
    </row>
    <row r="5" spans="2:3" x14ac:dyDescent="0.2">
      <c r="B5" s="113"/>
      <c r="C5" s="45" t="s">
        <v>53</v>
      </c>
    </row>
    <row r="6" spans="2:3" ht="25.5" x14ac:dyDescent="0.2">
      <c r="B6" s="114" t="s">
        <v>8</v>
      </c>
      <c r="C6" s="43" t="s">
        <v>46</v>
      </c>
    </row>
    <row r="7" spans="2:3" x14ac:dyDescent="0.2">
      <c r="B7" s="115"/>
      <c r="C7" s="44" t="s">
        <v>105</v>
      </c>
    </row>
    <row r="8" spans="2:3" x14ac:dyDescent="0.2">
      <c r="B8" s="116"/>
      <c r="C8" s="45" t="s">
        <v>54</v>
      </c>
    </row>
    <row r="9" spans="2:3" x14ac:dyDescent="0.2">
      <c r="B9" s="117" t="s">
        <v>55</v>
      </c>
      <c r="C9" s="43" t="s">
        <v>47</v>
      </c>
    </row>
    <row r="10" spans="2:3" x14ac:dyDescent="0.2">
      <c r="B10" s="118"/>
      <c r="C10" s="44" t="s">
        <v>105</v>
      </c>
    </row>
    <row r="11" spans="2:3" x14ac:dyDescent="0.2">
      <c r="B11" s="118"/>
      <c r="C11" s="44" t="s">
        <v>56</v>
      </c>
    </row>
    <row r="12" spans="2:3" x14ac:dyDescent="0.2">
      <c r="B12" s="118"/>
      <c r="C12" s="44" t="s">
        <v>105</v>
      </c>
    </row>
    <row r="13" spans="2:3" x14ac:dyDescent="0.2">
      <c r="B13" s="119"/>
      <c r="C13" s="45" t="s">
        <v>57</v>
      </c>
    </row>
    <row r="14" spans="2:3" x14ac:dyDescent="0.2">
      <c r="B14" s="120" t="s">
        <v>58</v>
      </c>
      <c r="C14" s="43" t="s">
        <v>59</v>
      </c>
    </row>
    <row r="15" spans="2:3" x14ac:dyDescent="0.2">
      <c r="B15" s="121"/>
      <c r="C15" s="44" t="s">
        <v>105</v>
      </c>
    </row>
    <row r="16" spans="2:3" x14ac:dyDescent="0.2">
      <c r="B16" s="121"/>
      <c r="C16" s="44" t="s">
        <v>60</v>
      </c>
    </row>
    <row r="17" spans="2:3" x14ac:dyDescent="0.2">
      <c r="B17" s="121"/>
      <c r="C17" s="44" t="s">
        <v>105</v>
      </c>
    </row>
    <row r="18" spans="2:3" x14ac:dyDescent="0.2">
      <c r="B18" s="122"/>
      <c r="C18" s="45" t="s">
        <v>61</v>
      </c>
    </row>
    <row r="19" spans="2:3" x14ac:dyDescent="0.2">
      <c r="B19" s="123" t="s">
        <v>62</v>
      </c>
      <c r="C19" s="43" t="s">
        <v>63</v>
      </c>
    </row>
    <row r="20" spans="2:3" x14ac:dyDescent="0.2">
      <c r="B20" s="124"/>
      <c r="C20" s="44" t="s">
        <v>105</v>
      </c>
    </row>
    <row r="21" spans="2:3" x14ac:dyDescent="0.2">
      <c r="B21" s="124"/>
      <c r="C21" s="44" t="s">
        <v>64</v>
      </c>
    </row>
    <row r="22" spans="2:3" x14ac:dyDescent="0.2">
      <c r="B22" s="124"/>
      <c r="C22" s="44" t="s">
        <v>105</v>
      </c>
    </row>
    <row r="23" spans="2:3" x14ac:dyDescent="0.2">
      <c r="B23" s="125"/>
      <c r="C23" s="45" t="s">
        <v>65</v>
      </c>
    </row>
  </sheetData>
  <mergeCells count="5">
    <mergeCell ref="B3:B5"/>
    <mergeCell ref="B6:B8"/>
    <mergeCell ref="B9:B13"/>
    <mergeCell ref="B14:B18"/>
    <mergeCell ref="B19:B2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pageSetUpPr fitToPage="1"/>
  </sheetPr>
  <dimension ref="A1:F7"/>
  <sheetViews>
    <sheetView topLeftCell="A6" zoomScaleNormal="100" zoomScaleSheetLayoutView="100" workbookViewId="0">
      <selection activeCell="J2" sqref="J2"/>
    </sheetView>
  </sheetViews>
  <sheetFormatPr baseColWidth="10" defaultColWidth="11.5703125" defaultRowHeight="12.75" x14ac:dyDescent="0.2"/>
  <cols>
    <col min="1" max="1" width="18.140625" style="60" customWidth="1"/>
    <col min="2" max="2" width="25.85546875" style="60" customWidth="1"/>
    <col min="3" max="3" width="11.5703125" style="60"/>
    <col min="4" max="4" width="24.42578125" style="60" customWidth="1"/>
    <col min="5" max="5" width="26.7109375" style="60" customWidth="1"/>
    <col min="6" max="6" width="78.85546875" style="60" customWidth="1"/>
    <col min="7" max="16384" width="11.5703125" style="60"/>
  </cols>
  <sheetData>
    <row r="1" spans="1:6" ht="25.5" x14ac:dyDescent="0.2">
      <c r="A1" s="58" t="s">
        <v>67</v>
      </c>
      <c r="B1" s="59" t="s">
        <v>70</v>
      </c>
      <c r="C1" s="59" t="s">
        <v>71</v>
      </c>
      <c r="D1" s="59" t="s">
        <v>72</v>
      </c>
      <c r="E1" s="59" t="s">
        <v>73</v>
      </c>
      <c r="F1" s="59" t="s">
        <v>74</v>
      </c>
    </row>
    <row r="2" spans="1:6" ht="153.75" customHeight="1" x14ac:dyDescent="0.2">
      <c r="A2" s="61" t="s">
        <v>75</v>
      </c>
      <c r="B2" s="62" t="s">
        <v>94</v>
      </c>
      <c r="C2" s="63" t="s">
        <v>76</v>
      </c>
      <c r="D2" s="63" t="s">
        <v>77</v>
      </c>
      <c r="E2" s="63" t="s">
        <v>78</v>
      </c>
      <c r="F2" s="63" t="s">
        <v>120</v>
      </c>
    </row>
    <row r="3" spans="1:6" ht="171.75" customHeight="1" x14ac:dyDescent="0.2">
      <c r="A3" s="64" t="s">
        <v>79</v>
      </c>
      <c r="B3" s="63" t="s">
        <v>80</v>
      </c>
      <c r="C3" s="63" t="s">
        <v>76</v>
      </c>
      <c r="D3" s="63" t="s">
        <v>81</v>
      </c>
      <c r="E3" s="63" t="s">
        <v>82</v>
      </c>
      <c r="F3" s="63" t="s">
        <v>121</v>
      </c>
    </row>
    <row r="4" spans="1:6" ht="131.25" customHeight="1" x14ac:dyDescent="0.2">
      <c r="A4" s="65" t="s">
        <v>83</v>
      </c>
      <c r="B4" s="63" t="s">
        <v>80</v>
      </c>
      <c r="C4" s="63" t="s">
        <v>84</v>
      </c>
      <c r="D4" s="63" t="s">
        <v>85</v>
      </c>
      <c r="E4" s="63" t="s">
        <v>86</v>
      </c>
      <c r="F4" s="66" t="s">
        <v>122</v>
      </c>
    </row>
    <row r="5" spans="1:6" ht="141.75" customHeight="1" x14ac:dyDescent="0.2">
      <c r="A5" s="67" t="s">
        <v>87</v>
      </c>
      <c r="B5" s="63" t="s">
        <v>88</v>
      </c>
      <c r="C5" s="63" t="s">
        <v>84</v>
      </c>
      <c r="D5" s="63" t="s">
        <v>89</v>
      </c>
      <c r="E5" s="63" t="s">
        <v>90</v>
      </c>
      <c r="F5" s="66" t="s">
        <v>123</v>
      </c>
    </row>
    <row r="6" spans="1:6" ht="135" customHeight="1" x14ac:dyDescent="0.2">
      <c r="A6" s="68" t="s">
        <v>91</v>
      </c>
      <c r="B6" s="63" t="s">
        <v>88</v>
      </c>
      <c r="C6" s="63" t="s">
        <v>84</v>
      </c>
      <c r="D6" s="63" t="s">
        <v>92</v>
      </c>
      <c r="E6" s="63" t="s">
        <v>93</v>
      </c>
      <c r="F6" s="69" t="s">
        <v>124</v>
      </c>
    </row>
    <row r="7" spans="1:6" ht="18.75" x14ac:dyDescent="0.2">
      <c r="A7" s="70"/>
      <c r="B7" s="71"/>
      <c r="C7" s="71"/>
      <c r="D7" s="71"/>
      <c r="E7" s="71"/>
      <c r="F7" s="72"/>
    </row>
  </sheetData>
  <pageMargins left="0.7" right="0.7" top="0.75" bottom="0.75" header="0.3" footer="0.3"/>
  <pageSetup scale="90"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C000"/>
  </sheetPr>
  <dimension ref="B2:D6"/>
  <sheetViews>
    <sheetView showGridLines="0" zoomScaleNormal="100" workbookViewId="0">
      <selection activeCell="D18" sqref="D18"/>
    </sheetView>
  </sheetViews>
  <sheetFormatPr baseColWidth="10" defaultColWidth="11.42578125" defaultRowHeight="12.75" x14ac:dyDescent="0.2"/>
  <cols>
    <col min="1" max="1" width="3.85546875" style="48" customWidth="1"/>
    <col min="2" max="2" width="4.5703125" style="48" customWidth="1"/>
    <col min="3" max="3" width="30.42578125" style="48" customWidth="1"/>
    <col min="4" max="4" width="75.28515625" style="48" bestFit="1" customWidth="1"/>
    <col min="5" max="16384" width="11.42578125" style="48"/>
  </cols>
  <sheetData>
    <row r="2" spans="2:4" x14ac:dyDescent="0.2">
      <c r="B2" s="126" t="s">
        <v>127</v>
      </c>
      <c r="C2" s="126"/>
    </row>
    <row r="3" spans="2:4" ht="27.75" customHeight="1" x14ac:dyDescent="0.2"/>
    <row r="4" spans="2:4" ht="27.75" customHeight="1" x14ac:dyDescent="0.2">
      <c r="B4" s="49"/>
      <c r="C4" s="50" t="s">
        <v>128</v>
      </c>
      <c r="D4" s="50" t="s">
        <v>66</v>
      </c>
    </row>
    <row r="5" spans="2:4" ht="27.75" customHeight="1" x14ac:dyDescent="0.2">
      <c r="B5" s="51">
        <v>1</v>
      </c>
      <c r="C5" s="52" t="s">
        <v>129</v>
      </c>
      <c r="D5" s="52" t="s">
        <v>130</v>
      </c>
    </row>
    <row r="6" spans="2:4" ht="25.5" x14ac:dyDescent="0.2">
      <c r="B6" s="51">
        <v>2</v>
      </c>
      <c r="C6" s="52" t="s">
        <v>131</v>
      </c>
      <c r="D6" s="52" t="s">
        <v>109</v>
      </c>
    </row>
  </sheetData>
  <mergeCells count="1">
    <mergeCell ref="B2:C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88454803142254FA68B3CA2D7D46012" ma:contentTypeVersion="12" ma:contentTypeDescription="Crear nuevo documento." ma:contentTypeScope="" ma:versionID="cbbffead79c0f9e5087c0a852da074ed">
  <xsd:schema xmlns:xsd="http://www.w3.org/2001/XMLSchema" xmlns:xs="http://www.w3.org/2001/XMLSchema" xmlns:p="http://schemas.microsoft.com/office/2006/metadata/properties" xmlns:ns2="3571769d-ef12-4882-9ba3-7aea1293712d" xmlns:ns3="038e9510-a9a0-4a6e-bbb5-fee9ca8a328d" targetNamespace="http://schemas.microsoft.com/office/2006/metadata/properties" ma:root="true" ma:fieldsID="86ab5a8d51d9341f7f46cc1fe658d85f" ns2:_="" ns3:_="">
    <xsd:import namespace="3571769d-ef12-4882-9ba3-7aea1293712d"/>
    <xsd:import namespace="038e9510-a9a0-4a6e-bbb5-fee9ca8a328d"/>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ServiceAutoKeyPoints" minOccurs="0"/>
                <xsd:element ref="ns2:MediaServiceKeyPoint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571769d-ef12-4882-9ba3-7aea1293712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38e9510-a9a0-4a6e-bbb5-fee9ca8a328d" elementFormDefault="qualified">
    <xsd:import namespace="http://schemas.microsoft.com/office/2006/documentManagement/types"/>
    <xsd:import namespace="http://schemas.microsoft.com/office/infopath/2007/PartnerControls"/>
    <xsd:element name="SharedWithUsers" ma:index="1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0FA6FA0-B533-49E5-97C6-533104EEDDC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571769d-ef12-4882-9ba3-7aea1293712d"/>
    <ds:schemaRef ds:uri="038e9510-a9a0-4a6e-bbb5-fee9ca8a328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2EFD606-A1DA-4162-90A6-7388FB208425}">
  <ds:schemaRefs>
    <ds:schemaRef ds:uri="http://schemas.microsoft.com/office/2006/metadata/properties"/>
    <ds:schemaRef ds:uri="http://schemas.microsoft.com/office/2006/documentManagement/types"/>
    <ds:schemaRef ds:uri="http://purl.org/dc/terms/"/>
    <ds:schemaRef ds:uri="http://schemas.openxmlformats.org/package/2006/metadata/core-properties"/>
    <ds:schemaRef ds:uri="http://purl.org/dc/dcmitype/"/>
    <ds:schemaRef ds:uri="http://schemas.microsoft.com/office/infopath/2007/PartnerControls"/>
    <ds:schemaRef ds:uri="http://purl.org/dc/elements/1.1/"/>
    <ds:schemaRef ds:uri="http://www.w3.org/XML/1998/namespace"/>
  </ds:schemaRefs>
</ds:datastoreItem>
</file>

<file path=customXml/itemProps3.xml><?xml version="1.0" encoding="utf-8"?>
<ds:datastoreItem xmlns:ds="http://schemas.openxmlformats.org/officeDocument/2006/customXml" ds:itemID="{F990BAC7-F4C9-4AC7-AA58-D3F7B6691ED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3</vt:i4>
      </vt:variant>
    </vt:vector>
  </HeadingPairs>
  <TitlesOfParts>
    <vt:vector size="10" baseType="lpstr">
      <vt:lpstr>1. V°B°</vt:lpstr>
      <vt:lpstr>1 Ficha Discriminación</vt:lpstr>
      <vt:lpstr>2 Matriz Continuidad</vt:lpstr>
      <vt:lpstr>3. Pruebas</vt:lpstr>
      <vt:lpstr>4. Probabilidad</vt:lpstr>
      <vt:lpstr>5. Evaluación del Control</vt:lpstr>
      <vt:lpstr>6. Evaluac. Respuesta al Riesgo</vt:lpstr>
      <vt:lpstr>'1. V°B°'!Área_de_impresión</vt:lpstr>
      <vt:lpstr>'2 Matriz Continuidad'!Área_de_impresión</vt:lpstr>
      <vt:lpstr>'5. Evaluación del Control'!Área_de_impresión</vt:lpstr>
    </vt:vector>
  </TitlesOfParts>
  <Company>PMS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Diego Andrés  Ramírez Vivas</cp:lastModifiedBy>
  <cp:lastPrinted>2016-12-23T14:27:40Z</cp:lastPrinted>
  <dcterms:created xsi:type="dcterms:W3CDTF">2008-11-26T02:31:44Z</dcterms:created>
  <dcterms:modified xsi:type="dcterms:W3CDTF">2026-01-26T23:40:12Z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0x010100888454803142254FA68B3CA2D7D46012</vt:lpwstr>
  </property>
  <property fmtid="{D5CDD505-2E9C-101B-9397-08002B2CF9AE}" pid="4" name="_AdHocReviewCycleID">
    <vt:i4>1348853521</vt:i4>
  </property>
  <property fmtid="{D5CDD505-2E9C-101B-9397-08002B2CF9AE}" pid="5" name="_EmailSubject">
    <vt:lpwstr>Solicitud de Prueba a los proveedores</vt:lpwstr>
  </property>
  <property fmtid="{D5CDD505-2E9C-101B-9397-08002B2CF9AE}" pid="6" name="_AuthorEmail">
    <vt:lpwstr>cangulo2@bancoestado.cl</vt:lpwstr>
  </property>
  <property fmtid="{D5CDD505-2E9C-101B-9397-08002B2CF9AE}" pid="7" name="_AuthorEmailDisplayName">
    <vt:lpwstr>Angulo Femenias Carmen Gloria</vt:lpwstr>
  </property>
  <property fmtid="{D5CDD505-2E9C-101B-9397-08002B2CF9AE}" pid="8" name="_PreviousAdHocReviewCycleID">
    <vt:i4>-1215524878</vt:i4>
  </property>
  <property fmtid="{D5CDD505-2E9C-101B-9397-08002B2CF9AE}" pid="9" name="_ReviewingToolsShownOnce">
    <vt:lpwstr/>
  </property>
</Properties>
</file>