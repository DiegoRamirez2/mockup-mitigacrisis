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6"/>
  <workbookPr codeName="ThisWorkbook" defaultThemeVersion="124226"/>
  <mc:AlternateContent xmlns:mc="http://schemas.openxmlformats.org/markup-compatibility/2006">
    <mc:Choice Requires="x15">
      <x15ac:absPath xmlns:x15ac="http://schemas.microsoft.com/office/spreadsheetml/2010/11/ac" url="C:\Users\cromero5\Desktop\RO\Procesos CRO\CRO - Convenios\CRO - Operar Convenio de Pago\2021\Ficha - BIA - RIA Validados\"/>
    </mc:Choice>
  </mc:AlternateContent>
  <xr:revisionPtr revIDLastSave="0" documentId="13_ncr:1_{2605FC5D-4AEC-4B91-B530-B96644BE72F1}" xr6:coauthVersionLast="36" xr6:coauthVersionMax="46" xr10:uidLastSave="{00000000-0000-0000-0000-000000000000}"/>
  <bookViews>
    <workbookView xWindow="-120" yWindow="-120" windowWidth="29040" windowHeight="15990" tabRatio="568" xr2:uid="{00000000-000D-0000-FFFF-FFFF00000000}"/>
  </bookViews>
  <sheets>
    <sheet name="V°B°" sheetId="54" r:id="rId1"/>
    <sheet name="Datos entrevistado" sheetId="49" r:id="rId2"/>
    <sheet name="Análisis Impacto" sheetId="27" r:id="rId3"/>
    <sheet name="Escala por tipo de impacto" sheetId="52" r:id="rId4"/>
    <sheet name="Análisis Impacto (Calculos)" sheetId="50" state="hidden" r:id="rId5"/>
    <sheet name="Listas Desplegables" sheetId="53" state="hidden" r:id="rId6"/>
  </sheets>
  <calcPr calcId="191029"/>
</workbook>
</file>

<file path=xl/calcChain.xml><?xml version="1.0" encoding="utf-8"?>
<calcChain xmlns="http://schemas.openxmlformats.org/spreadsheetml/2006/main">
  <c r="L3" i="50" l="1"/>
  <c r="AR3" i="50" l="1"/>
  <c r="R3" i="50"/>
  <c r="X3" i="50"/>
  <c r="AO3" i="50" s="1"/>
  <c r="AD3" i="50"/>
  <c r="AP3" i="50" s="1"/>
  <c r="AJ3" i="50"/>
  <c r="AN3" i="50" s="1"/>
  <c r="Y6" i="50"/>
  <c r="AE6" i="50"/>
  <c r="S6" i="50"/>
  <c r="AK6" i="50"/>
  <c r="L6" i="50"/>
  <c r="AR6" i="50" s="1"/>
  <c r="Y5" i="50"/>
  <c r="AE5" i="50"/>
  <c r="S5" i="50"/>
  <c r="AK5" i="50"/>
  <c r="L5" i="50"/>
  <c r="AR5" i="50" s="1"/>
  <c r="Y4" i="50"/>
  <c r="AE4" i="50"/>
  <c r="S4" i="50"/>
  <c r="AK4" i="50"/>
  <c r="L4" i="50"/>
  <c r="AR4" i="50" s="1"/>
  <c r="Y3" i="50"/>
  <c r="AE3" i="50"/>
  <c r="S3" i="50"/>
  <c r="AK3" i="50"/>
  <c r="I3" i="50"/>
  <c r="AA4" i="50"/>
  <c r="AB4" i="50"/>
  <c r="AC4" i="50"/>
  <c r="AD4" i="50"/>
  <c r="AP4" i="50" s="1"/>
  <c r="AF4" i="50"/>
  <c r="AG4" i="50"/>
  <c r="AH4" i="50"/>
  <c r="AI4" i="50"/>
  <c r="AJ4" i="50"/>
  <c r="AN4" i="50" s="1"/>
  <c r="AL4" i="50"/>
  <c r="O4" i="50"/>
  <c r="P4" i="50"/>
  <c r="Q4" i="50"/>
  <c r="R4" i="50"/>
  <c r="AQ4" i="50" s="1"/>
  <c r="T4" i="50"/>
  <c r="I4" i="50"/>
  <c r="J4" i="50"/>
  <c r="K4" i="50"/>
  <c r="M4" i="50"/>
  <c r="N4" i="50"/>
  <c r="AA5" i="50"/>
  <c r="AB5" i="50"/>
  <c r="AC5" i="50"/>
  <c r="AD5" i="50"/>
  <c r="AP5" i="50" s="1"/>
  <c r="AF5" i="50"/>
  <c r="AG5" i="50"/>
  <c r="AH5" i="50"/>
  <c r="AI5" i="50"/>
  <c r="AJ5" i="50"/>
  <c r="AN5" i="50" s="1"/>
  <c r="AL5" i="50"/>
  <c r="O5" i="50"/>
  <c r="P5" i="50"/>
  <c r="Q5" i="50"/>
  <c r="R5" i="50"/>
  <c r="AQ5" i="50" s="1"/>
  <c r="T5" i="50"/>
  <c r="I5" i="50"/>
  <c r="J5" i="50"/>
  <c r="K5" i="50"/>
  <c r="M5" i="50"/>
  <c r="N5" i="50"/>
  <c r="AA6" i="50"/>
  <c r="AB6" i="50"/>
  <c r="AC6" i="50"/>
  <c r="AD6" i="50"/>
  <c r="AP6" i="50" s="1"/>
  <c r="AF6" i="50"/>
  <c r="AG6" i="50"/>
  <c r="AH6" i="50"/>
  <c r="AI6" i="50"/>
  <c r="AJ6" i="50"/>
  <c r="AN6" i="50" s="1"/>
  <c r="AL6" i="50"/>
  <c r="O6" i="50"/>
  <c r="P6" i="50"/>
  <c r="Q6" i="50"/>
  <c r="R6" i="50"/>
  <c r="AQ6" i="50" s="1"/>
  <c r="T6" i="50"/>
  <c r="I6" i="50"/>
  <c r="J6" i="50"/>
  <c r="K6" i="50"/>
  <c r="M6" i="50"/>
  <c r="N6" i="50"/>
  <c r="AA3" i="50"/>
  <c r="AB3" i="50"/>
  <c r="AC3" i="50"/>
  <c r="AF3" i="50"/>
  <c r="AG3" i="50"/>
  <c r="AH3" i="50"/>
  <c r="AI3" i="50"/>
  <c r="AL3" i="50"/>
  <c r="O3" i="50"/>
  <c r="P3" i="50"/>
  <c r="Q3" i="50"/>
  <c r="T3" i="50"/>
  <c r="J3" i="50"/>
  <c r="K3" i="50"/>
  <c r="M3" i="50"/>
  <c r="N3" i="50"/>
  <c r="Z6" i="50"/>
  <c r="X6" i="50"/>
  <c r="AO6" i="50" s="1"/>
  <c r="W6" i="50"/>
  <c r="V6" i="50"/>
  <c r="U6" i="50"/>
  <c r="Z5" i="50"/>
  <c r="X5" i="50"/>
  <c r="AO5" i="50" s="1"/>
  <c r="W5" i="50"/>
  <c r="V5" i="50"/>
  <c r="U5" i="50"/>
  <c r="Z4" i="50"/>
  <c r="X4" i="50"/>
  <c r="AO4" i="50" s="1"/>
  <c r="W4" i="50"/>
  <c r="V4" i="50"/>
  <c r="U4" i="50"/>
  <c r="Z3" i="50"/>
  <c r="W3" i="50"/>
  <c r="V3" i="50"/>
  <c r="U3" i="50"/>
  <c r="AQ3" i="50" l="1"/>
  <c r="AM3" i="50"/>
  <c r="AS3" i="50" s="1"/>
  <c r="AJ3" i="27" s="1"/>
  <c r="AM6" i="50"/>
  <c r="AM5" i="50"/>
  <c r="AS5" i="50" s="1"/>
  <c r="AM4" i="50"/>
  <c r="AS4" i="50" s="1"/>
  <c r="AI7" i="27" l="1"/>
  <c r="AS6" i="50"/>
  <c r="AJ7" i="27" s="1"/>
  <c r="AJ6" i="27"/>
  <c r="AI6" i="27"/>
  <c r="AI3" i="27"/>
  <c r="AJ5" i="27"/>
  <c r="AI5" i="27"/>
</calcChain>
</file>

<file path=xl/sharedStrings.xml><?xml version="1.0" encoding="utf-8"?>
<sst xmlns="http://schemas.openxmlformats.org/spreadsheetml/2006/main" count="411" uniqueCount="121">
  <si>
    <t>Reputacional</t>
  </si>
  <si>
    <t>Alto</t>
  </si>
  <si>
    <t>Medio</t>
  </si>
  <si>
    <t>3. Medio</t>
  </si>
  <si>
    <t>Operacional</t>
  </si>
  <si>
    <t>INDISPONIBILIDAD DEL PERSONAL</t>
  </si>
  <si>
    <t>INDISPONIBILIDAD DE INFRAESTRUCTURA</t>
  </si>
  <si>
    <t>INDISPONIBILIDAD DE SISTEMAS</t>
  </si>
  <si>
    <t>ENTRE 1 Y 2 HORAS</t>
  </si>
  <si>
    <t>ENTRE 2 Y 6 HORAS</t>
  </si>
  <si>
    <t>ENTRE 6 Y 24 HORAS</t>
  </si>
  <si>
    <t>ENTRE 24 Y 36 HORAS</t>
  </si>
  <si>
    <t>&gt; 36 HORAS</t>
  </si>
  <si>
    <t>&lt; 1 HORA</t>
  </si>
  <si>
    <t>ESCENARIO DE DISRUPCIÓN</t>
  </si>
  <si>
    <t>INDISPONIBILIDAD DE PROVEEDORES</t>
  </si>
  <si>
    <t>Normativo</t>
  </si>
  <si>
    <t>Clientes</t>
  </si>
  <si>
    <t>Impacto no relevante para el proceso de negocio; sin impactos normativos.</t>
  </si>
  <si>
    <t>Impacto no relevante para el proceso de negocio; no afecta la reputación de Banco Estado.</t>
  </si>
  <si>
    <t>La interrupción del proceso es percibida sólo al interior del Banco o su conocimiento es muy restringido.</t>
  </si>
  <si>
    <t>El incidente es difundido ampliamente en los diferentes medios de comunicación masiva a nivel nacional. Podría conducir a un daño significativo en la reputación de Banco Estado.</t>
  </si>
  <si>
    <t>Afecta a otras funciones o procesos, sin interrumpirlo (p.ej. degradación en el nivel de servicio).</t>
  </si>
  <si>
    <t>Afecta a otras funciones o procesos, sin interrumpirlo, pero si se prolonga en el en el tiempo podría impactar en el cumplimiento de los ANS internos.</t>
  </si>
  <si>
    <t>Afecta otras funciones o procesos de forma inmediata, impactando en el cumplimiento de los ANS internos y/o terceras partes involucradas.</t>
  </si>
  <si>
    <t>Afecta significativamente a otras funciones o procesos de forma inmediata, implicando la interrupción de los procesos que se ven impactados.</t>
  </si>
  <si>
    <t>N°</t>
  </si>
  <si>
    <t xml:space="preserve">Segmentación del Mapa de Procesos </t>
  </si>
  <si>
    <t>Ámbito/
Ciclo de Vida/
Canal/
Fábrica</t>
  </si>
  <si>
    <t>Nombre del Grupo de Procesos</t>
  </si>
  <si>
    <t>Nombre de Procesos</t>
  </si>
  <si>
    <t xml:space="preserve">ID Único </t>
  </si>
  <si>
    <t>Negocios</t>
  </si>
  <si>
    <t>Medio alto = 8 horas</t>
  </si>
  <si>
    <t>Impacto Final</t>
  </si>
  <si>
    <t>1. Bajo</t>
  </si>
  <si>
    <t>2. Medio Bajo</t>
  </si>
  <si>
    <t>4. Medio Alto</t>
  </si>
  <si>
    <t>5. Alto</t>
  </si>
  <si>
    <t>No afecta otras funciones o procesos del Banco Estado.</t>
  </si>
  <si>
    <t>La materialización del evento no afecta a los clientes.</t>
  </si>
  <si>
    <t xml:space="preserve">Más de un 0,09% </t>
  </si>
  <si>
    <t>Impacto</t>
  </si>
  <si>
    <t>Monetario</t>
  </si>
  <si>
    <t>Procesos</t>
  </si>
  <si>
    <t>El incidente es de conocimiento por el regulador y/o organismos normativos, podría implicar la solicitud de información al Banco en relación a los procesos  y clientes que se han visto afectados.</t>
  </si>
  <si>
    <t>El incidente, y los impactos que éste genere, deberán ser notificados a el regulador y/o organismos normativos; puede provocar sanciones u observaciones.</t>
  </si>
  <si>
    <t>El evento materializado afectará a una cantidad no muy significativa de clientes (entre 5.000 y 25.000). O afectará a más del 1%  de clientes mayoristas o al menos 1 cliente VIP</t>
  </si>
  <si>
    <t>El incidente conllevará a una investigación formal del regulador y/o organismos normativos y multas, con alta visibilidad y divulgación a público, alta implicación de directivos del Banco durante el proceso de la investigación.</t>
  </si>
  <si>
    <t>La situación obligará al pronunciamiento público de parte del regulador y/o organismos normativos en relación al incidente, pudiendo verse comprometida la calificación del Banco.</t>
  </si>
  <si>
    <t>El evento materializado afectará a un grupo reducido de clientes (menos de 5.000 como referencia). O afectará a menos del 1% de los clientes mayoristas, pero que ninguno de estos sea VIP</t>
  </si>
  <si>
    <t>El incidente se divulga en medios de comunicación no masivos y/o en las redes sociales, entre 100 y 500 menciones, a una velocidad entre  51 a 100 por hora. Es percibido principalmente por los clientes del Banco.</t>
  </si>
  <si>
    <t>El incidente es difundido en medios específicos de denuncia y en las redes sociales, más de 501 menciones a una velocidad de más de 100 menciones por hora. Es percibido por los otros actores de la industria financiera.</t>
  </si>
  <si>
    <t>El evento materializado  es critico para los clientes y afectará a un número significativo de ellos (entre 5.000 y 25.000). O afectará a entre el 1% y  el 10% de clientes mayoristas o hasta de 3 clientes VIP</t>
  </si>
  <si>
    <t>El evento materializado  afectará masivamente a los clientes del Banco (sobre 25.000) y será muy sensible para ellos. O afectará a más del 10% de clientes mayoristas y más de 3 clientes VIP</t>
  </si>
  <si>
    <t>Bajo</t>
  </si>
  <si>
    <t>Medio Bajo</t>
  </si>
  <si>
    <t>Medio Alto</t>
  </si>
  <si>
    <t>IMPACTO FINAL</t>
  </si>
  <si>
    <t>Tipo de Impacto</t>
  </si>
  <si>
    <t>Prioridades</t>
  </si>
  <si>
    <t>Fecha de entrevista</t>
  </si>
  <si>
    <t>Nombre del entrevistado</t>
  </si>
  <si>
    <t>Cargo del entrevistado</t>
  </si>
  <si>
    <t>Nombre de la persona que realiza levantamiento</t>
  </si>
  <si>
    <t>Cargo de la persona que realiza levantamiento</t>
  </si>
  <si>
    <t>Medio alto</t>
  </si>
  <si>
    <t>MAYOR IMPACTO HASTA LAS 24 HORAS</t>
  </si>
  <si>
    <t>ID Único Proceso</t>
  </si>
  <si>
    <t>MTPD</t>
  </si>
  <si>
    <t>Resultado Nivel de Imapcto</t>
  </si>
  <si>
    <t>Resultado Nivel de Impacto</t>
  </si>
  <si>
    <t>Resumen Nivel de Impacto entre 6 y 24 horas</t>
  </si>
  <si>
    <t>Realizar Seguimiento Comercial Cartera de corresponsales Caja Vecina</t>
  </si>
  <si>
    <t>Analista de Seguridad Operacional</t>
  </si>
  <si>
    <t>Prioridades 2</t>
  </si>
  <si>
    <t>Gestionar Canal</t>
  </si>
  <si>
    <t>Nombre del Proceso</t>
  </si>
  <si>
    <t>RTO</t>
  </si>
  <si>
    <t>ATAQUE DE CIBERSEGURIDAD</t>
  </si>
  <si>
    <t>1 hora</t>
  </si>
  <si>
    <t>6 horas</t>
  </si>
  <si>
    <t>INDISPONIBILIDAD PARCIAL DE PERSONAL</t>
  </si>
  <si>
    <t>Nombre del Proceso:</t>
  </si>
  <si>
    <t>Rol</t>
  </si>
  <si>
    <t>Nombre</t>
  </si>
  <si>
    <t>Fecha</t>
  </si>
  <si>
    <t>Firma</t>
  </si>
  <si>
    <t>Responsable de Proceso</t>
  </si>
  <si>
    <t>Jefe de Departamento de Riesgo Operacional</t>
  </si>
  <si>
    <t>Héctor Orellana Vidal</t>
  </si>
  <si>
    <t>Validación de "Ficha Impacto en el Negocio"</t>
  </si>
  <si>
    <t>0,5 horas</t>
  </si>
  <si>
    <t>2 horas</t>
  </si>
  <si>
    <t>3 horas</t>
  </si>
  <si>
    <t>4 horas</t>
  </si>
  <si>
    <t>5 horas</t>
  </si>
  <si>
    <t>7 horas</t>
  </si>
  <si>
    <t>8 horas</t>
  </si>
  <si>
    <t>0 horas</t>
  </si>
  <si>
    <t>RTO DEL PROCESO</t>
  </si>
  <si>
    <t>IMPACTO DEL PROCESO</t>
  </si>
  <si>
    <t>INDISPONIBILIDAD MASIVA DE PERSONAL (SSMM)</t>
  </si>
  <si>
    <t>Crítico por Servicios Mínimos (SSMM)</t>
  </si>
  <si>
    <r>
      <rPr>
        <b/>
        <sz val="10"/>
        <color rgb="FFFF0000"/>
        <rFont val="Arial Narrow"/>
        <family val="2"/>
      </rPr>
      <t>MTPD (Periodo máximo tolerable de interrupción)</t>
    </r>
    <r>
      <rPr>
        <b/>
        <sz val="10"/>
        <rFont val="Arial Narrow"/>
        <family val="2"/>
      </rPr>
      <t>:</t>
    </r>
    <r>
      <rPr>
        <sz val="10"/>
        <rFont val="Arial Narrow"/>
        <family val="2"/>
      </rPr>
      <t xml:space="preserve"> </t>
    </r>
    <r>
      <rPr>
        <b/>
        <sz val="10"/>
        <rFont val="Arial Narrow"/>
        <family val="2"/>
      </rPr>
      <t>Tiempo que podría llegar a ser inaceptable, en el cual habría impactos adversos como consecuencia de no proporcionar un producto/servicio o llevar a cabo una actividad.</t>
    </r>
  </si>
  <si>
    <r>
      <rPr>
        <b/>
        <sz val="10"/>
        <color rgb="FFFF0000"/>
        <rFont val="Arial Narrow"/>
        <family val="2"/>
      </rPr>
      <t>RTO del Proceso:</t>
    </r>
    <r>
      <rPr>
        <b/>
        <sz val="10"/>
        <rFont val="Arial Narrow"/>
        <family val="2"/>
      </rPr>
      <t xml:space="preserve"> Corresponde al menor valor de los RTO de los escenarios críticos del Proceso.</t>
    </r>
  </si>
  <si>
    <r>
      <rPr>
        <b/>
        <sz val="10"/>
        <color rgb="FFFF0000"/>
        <rFont val="Arial Narrow"/>
        <family val="2"/>
      </rPr>
      <t>Impacto del Proceso:</t>
    </r>
    <r>
      <rPr>
        <b/>
        <sz val="10"/>
        <rFont val="Arial Narrow"/>
        <family val="2"/>
      </rPr>
      <t xml:space="preserve"> Corresponde al mayor impacto obtenido de los escenarios.</t>
    </r>
  </si>
  <si>
    <r>
      <rPr>
        <b/>
        <sz val="10"/>
        <color rgb="FFFF0000"/>
        <rFont val="Arial Narrow"/>
        <family val="2"/>
      </rPr>
      <t>Nota</t>
    </r>
    <r>
      <rPr>
        <b/>
        <sz val="10"/>
        <rFont val="Arial Narrow"/>
        <family val="2"/>
      </rPr>
      <t>: Para productos, servicios y actividades, el RTO debe ser menor que el MTPD.</t>
    </r>
  </si>
  <si>
    <t>Christian Bonacic González</t>
  </si>
  <si>
    <t>Hasta un 0,01% del ingreso operacional de la institución. (Ref.  MM$ 161)</t>
  </si>
  <si>
    <t>Hasta un 0,03% del ingreso operacional de la institución. (Ref.  MM$ 484)</t>
  </si>
  <si>
    <t>Hasta un 0,06% del ingreso operacional de la institución. (Ref.   MM$ 969)</t>
  </si>
  <si>
    <t>Hasta un 0,09% del ingreso operacional de la institución. (Ref.   MM$ 1.453)</t>
  </si>
  <si>
    <r>
      <rPr>
        <b/>
        <sz val="10"/>
        <color rgb="FFFF0000"/>
        <rFont val="Arial Narrow"/>
        <family val="2"/>
      </rPr>
      <t>RTO (Tiempo de Recuperación Objetivo)</t>
    </r>
    <r>
      <rPr>
        <b/>
        <sz val="10"/>
        <rFont val="Arial Narrow"/>
        <family val="2"/>
      </rPr>
      <t>: Período de tiempo después de un incidente en el que: el producto o servicio se debe reanudar, o la actividad se debe reanudar o los recursos se deben recuperar.</t>
    </r>
  </si>
  <si>
    <t>Jefe de Continuidad de Negocio</t>
  </si>
  <si>
    <t>Karen Beltrán Henríquez</t>
  </si>
  <si>
    <t>30 minutos</t>
  </si>
  <si>
    <t>Operar Convenios de Pago</t>
  </si>
  <si>
    <t>Claudio Saavedra Araya</t>
  </si>
  <si>
    <t>Ines Escobar Vargas
Darwin Rossel Lucares
Lorena Echeverría Jimenez
Alex Ibarra Perez
Jaqueline Araya Olivos</t>
  </si>
  <si>
    <t>Jefe de Area Subgerencia Operaciones de Convenio
Jefe Departamento de Abonos
Jefe de Proyectos Unidad de Administración de Servicios de Convenios
Analista de Proceso Sección Abonos
Analista de Procesos Unidad de Administración de Servicios de Convenios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</si>
</sst>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name val="Arial"/>
      <family val="2"/>
    </font>
    <font>
      <b/>
      <sz val="10"/>
      <color indexed="8"/>
      <name val="Arial Narrow"/>
      <family val="2"/>
    </font>
    <font>
      <sz val="10"/>
      <name val="Arial Narrow"/>
      <family val="2"/>
    </font>
    <font>
      <b/>
      <sz val="10"/>
      <name val="Arial Narrow"/>
      <family val="2"/>
    </font>
    <font>
      <sz val="10"/>
      <name val="Arial"/>
      <family val="2"/>
    </font>
    <font>
      <sz val="11"/>
      <color theme="1"/>
      <name val="Calibri"/>
      <family val="2"/>
      <scheme val="minor"/>
    </font>
    <font>
      <b/>
      <sz val="10"/>
      <color theme="1" tint="0.34998626667073579"/>
      <name val="Arial Narrow"/>
      <family val="2"/>
    </font>
    <font>
      <b/>
      <sz val="10"/>
      <color rgb="FFFF9900"/>
      <name val="Arial Narrow"/>
      <family val="2"/>
    </font>
    <font>
      <sz val="10"/>
      <color theme="1"/>
      <name val="Arial Narrow"/>
      <family val="2"/>
    </font>
    <font>
      <b/>
      <sz val="10"/>
      <color theme="9" tint="-0.499984740745262"/>
      <name val="Arial Narrow"/>
      <family val="2"/>
    </font>
    <font>
      <sz val="10"/>
      <color rgb="FFFF0000"/>
      <name val="Arial Narrow"/>
      <family val="2"/>
    </font>
    <font>
      <sz val="11"/>
      <color rgb="FF006100"/>
      <name val="Calibri"/>
      <family val="2"/>
      <scheme val="minor"/>
    </font>
    <font>
      <sz val="11"/>
      <color theme="0"/>
      <name val="Calibri"/>
      <family val="2"/>
      <scheme val="minor"/>
    </font>
    <font>
      <sz val="11"/>
      <color theme="1"/>
      <name val="Calibri"/>
      <family val="2"/>
    </font>
    <font>
      <b/>
      <sz val="11"/>
      <color rgb="FF006100"/>
      <name val="Arial Narrow"/>
      <family val="2"/>
    </font>
    <font>
      <sz val="11"/>
      <color rgb="FF9C5700"/>
      <name val="Calibri"/>
      <family val="2"/>
      <scheme val="minor"/>
    </font>
    <font>
      <b/>
      <sz val="11"/>
      <name val="Calibri"/>
      <family val="2"/>
      <scheme val="minor"/>
    </font>
    <font>
      <b/>
      <sz val="11"/>
      <color theme="1"/>
      <name val="Calibri"/>
      <family val="2"/>
      <scheme val="minor"/>
    </font>
    <font>
      <sz val="10"/>
      <name val="Calibri"/>
      <family val="2"/>
    </font>
    <font>
      <b/>
      <sz val="10"/>
      <name val="Calibri"/>
      <family val="2"/>
    </font>
    <font>
      <sz val="10"/>
      <name val="Calibri"/>
      <family val="2"/>
      <scheme val="minor"/>
    </font>
    <font>
      <sz val="14"/>
      <name val="Arial Narrow"/>
      <family val="2"/>
    </font>
    <font>
      <b/>
      <sz val="14"/>
      <name val="Arial Narrow"/>
      <family val="2"/>
    </font>
    <font>
      <b/>
      <sz val="12"/>
      <color theme="0"/>
      <name val="Calibri"/>
      <family val="2"/>
      <scheme val="minor"/>
    </font>
    <font>
      <b/>
      <sz val="10"/>
      <color rgb="FF000000"/>
      <name val="Calibri"/>
      <family val="2"/>
      <scheme val="minor"/>
    </font>
    <font>
      <b/>
      <sz val="12"/>
      <name val="Arial Narrow"/>
      <family val="2"/>
    </font>
    <font>
      <b/>
      <sz val="11"/>
      <color theme="0"/>
      <name val="Calibri"/>
      <family val="2"/>
      <scheme val="minor"/>
    </font>
    <font>
      <b/>
      <sz val="12"/>
      <color indexed="9"/>
      <name val="Calibri"/>
      <family val="2"/>
      <scheme val="minor"/>
    </font>
    <font>
      <sz val="10"/>
      <color rgb="FF000000"/>
      <name val="Calibri"/>
      <family val="2"/>
      <scheme val="minor"/>
    </font>
    <font>
      <b/>
      <sz val="10"/>
      <color theme="0"/>
      <name val="Arial Narrow"/>
      <family val="2"/>
    </font>
    <font>
      <b/>
      <sz val="10"/>
      <color rgb="FFFF0000"/>
      <name val="Arial Narrow"/>
      <family val="2"/>
    </font>
    <font>
      <b/>
      <sz val="11"/>
      <color theme="1"/>
      <name val="Arial Narrow"/>
      <family val="2"/>
    </font>
  </fonts>
  <fills count="22">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FFC000"/>
        <bgColor indexed="64"/>
      </patternFill>
    </fill>
    <fill>
      <patternFill patternType="solid">
        <fgColor rgb="FFF8F8F8"/>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rgb="FFC0C0C0"/>
        <bgColor indexed="64"/>
      </patternFill>
    </fill>
    <fill>
      <patternFill patternType="solid">
        <fgColor rgb="FF00B0F0"/>
        <bgColor indexed="64"/>
      </patternFill>
    </fill>
    <fill>
      <patternFill patternType="solid">
        <fgColor rgb="FFC6EFCE"/>
      </patternFill>
    </fill>
    <fill>
      <patternFill patternType="solid">
        <fgColor theme="6"/>
      </patternFill>
    </fill>
    <fill>
      <patternFill patternType="solid">
        <fgColor theme="6" tint="0.39997558519241921"/>
        <bgColor indexed="65"/>
      </patternFill>
    </fill>
    <fill>
      <patternFill patternType="solid">
        <fgColor theme="0"/>
        <bgColor indexed="64"/>
      </patternFill>
    </fill>
    <fill>
      <patternFill patternType="solid">
        <fgColor rgb="FFFFEB9C"/>
      </patternFill>
    </fill>
    <fill>
      <patternFill patternType="solid">
        <fgColor theme="9" tint="0.59999389629810485"/>
        <bgColor indexed="64"/>
      </patternFill>
    </fill>
    <fill>
      <patternFill patternType="solid">
        <fgColor theme="7" tint="0.39997558519241921"/>
        <bgColor indexed="65"/>
      </patternFill>
    </fill>
    <fill>
      <patternFill patternType="solid">
        <fgColor theme="3"/>
        <bgColor indexed="64"/>
      </patternFill>
    </fill>
    <fill>
      <patternFill patternType="solid">
        <fgColor theme="0" tint="-0.3499862666707357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9"/>
      </right>
      <top/>
      <bottom/>
      <diagonal/>
    </border>
    <border>
      <left style="thin">
        <color indexed="9"/>
      </left>
      <right/>
      <top/>
      <bottom/>
      <diagonal/>
    </border>
  </borders>
  <cellStyleXfs count="18">
    <xf numFmtId="0" fontId="0" fillId="0" borderId="0"/>
    <xf numFmtId="0" fontId="6" fillId="0" borderId="0"/>
    <xf numFmtId="0" fontId="6" fillId="0" borderId="0"/>
    <xf numFmtId="0" fontId="6" fillId="0" borderId="0"/>
    <xf numFmtId="0" fontId="10" fillId="0" borderId="0"/>
    <xf numFmtId="0" fontId="6" fillId="0" borderId="0"/>
    <xf numFmtId="0" fontId="11" fillId="0" borderId="0"/>
    <xf numFmtId="0" fontId="11" fillId="0" borderId="0"/>
    <xf numFmtId="0" fontId="17" fillId="13" borderId="0" applyNumberFormat="0" applyBorder="0" applyAlignment="0" applyProtection="0"/>
    <xf numFmtId="0" fontId="18" fillId="14" borderId="0" applyNumberFormat="0" applyBorder="0" applyAlignment="0" applyProtection="0"/>
    <xf numFmtId="0" fontId="4" fillId="15" borderId="0" applyNumberFormat="0" applyBorder="0" applyAlignment="0" applyProtection="0"/>
    <xf numFmtId="0" fontId="3" fillId="0" borderId="0"/>
    <xf numFmtId="0" fontId="3" fillId="0" borderId="0"/>
    <xf numFmtId="0" fontId="3" fillId="15" borderId="0" applyNumberFormat="0" applyBorder="0" applyAlignment="0" applyProtection="0"/>
    <xf numFmtId="0" fontId="21" fillId="17" borderId="0" applyNumberFormat="0" applyBorder="0" applyAlignment="0" applyProtection="0"/>
    <xf numFmtId="0" fontId="2" fillId="19" borderId="0" applyNumberFormat="0" applyBorder="0" applyAlignment="0" applyProtection="0"/>
    <xf numFmtId="0" fontId="6" fillId="0" borderId="0"/>
    <xf numFmtId="0" fontId="6" fillId="0" borderId="0"/>
  </cellStyleXfs>
  <cellXfs count="106">
    <xf numFmtId="0" fontId="0" fillId="0" borderId="0" xfId="0"/>
    <xf numFmtId="0" fontId="8" fillId="0" borderId="0" xfId="0" applyFont="1" applyAlignment="1" applyProtection="1">
      <alignment horizontal="justify" vertical="center"/>
    </xf>
    <xf numFmtId="0" fontId="8" fillId="0" borderId="0" xfId="0" applyFont="1" applyFill="1"/>
    <xf numFmtId="0" fontId="8" fillId="0" borderId="3" xfId="0" applyFont="1" applyFill="1" applyBorder="1"/>
    <xf numFmtId="0" fontId="8" fillId="0" borderId="4" xfId="0" applyFont="1" applyFill="1" applyBorder="1"/>
    <xf numFmtId="0" fontId="8" fillId="0" borderId="2" xfId="0" applyFont="1" applyFill="1" applyBorder="1"/>
    <xf numFmtId="0" fontId="8" fillId="3" borderId="0" xfId="0" applyFont="1" applyFill="1" applyBorder="1"/>
    <xf numFmtId="0" fontId="8" fillId="3" borderId="0" xfId="0" applyFont="1" applyFill="1"/>
    <xf numFmtId="0" fontId="8" fillId="2" borderId="0" xfId="0" applyFont="1" applyFill="1"/>
    <xf numFmtId="0" fontId="7" fillId="4" borderId="1" xfId="0" applyFont="1" applyFill="1" applyBorder="1" applyAlignment="1" applyProtection="1">
      <alignment vertical="center" wrapText="1"/>
    </xf>
    <xf numFmtId="0" fontId="8" fillId="0" borderId="1" xfId="0" applyFont="1" applyFill="1" applyBorder="1"/>
    <xf numFmtId="12" fontId="8"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4" xfId="0" applyFont="1" applyFill="1" applyBorder="1" applyAlignment="1"/>
    <xf numFmtId="0" fontId="8" fillId="0" borderId="2" xfId="0" applyFont="1" applyFill="1" applyBorder="1" applyAlignment="1"/>
    <xf numFmtId="0" fontId="7" fillId="4" borderId="1" xfId="0" applyFont="1" applyFill="1" applyBorder="1" applyAlignment="1" applyProtection="1">
      <alignment horizontal="center" vertical="center" wrapText="1"/>
    </xf>
    <xf numFmtId="0" fontId="12" fillId="6"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164" fontId="8" fillId="0" borderId="1" xfId="0" applyNumberFormat="1" applyFont="1" applyBorder="1" applyAlignment="1">
      <alignment vertical="center"/>
    </xf>
    <xf numFmtId="0" fontId="8" fillId="3" borderId="0" xfId="0" applyFont="1" applyFill="1" applyBorder="1" applyAlignment="1">
      <alignment vertical="center"/>
    </xf>
    <xf numFmtId="0" fontId="8" fillId="0" borderId="0" xfId="0" applyFont="1" applyFill="1" applyAlignment="1">
      <alignment vertical="center"/>
    </xf>
    <xf numFmtId="164" fontId="15" fillId="0" borderId="1" xfId="0" applyNumberFormat="1" applyFont="1" applyBorder="1" applyAlignment="1">
      <alignment horizontal="center" vertical="center"/>
    </xf>
    <xf numFmtId="0" fontId="9" fillId="12" borderId="1" xfId="0" applyFont="1" applyFill="1" applyBorder="1" applyAlignment="1">
      <alignment horizontal="center" vertical="center" wrapText="1"/>
    </xf>
    <xf numFmtId="0" fontId="7" fillId="12" borderId="1" xfId="0" applyFont="1" applyFill="1" applyBorder="1" applyAlignment="1" applyProtection="1">
      <alignment horizontal="center" vertical="center" wrapText="1"/>
    </xf>
    <xf numFmtId="0" fontId="16" fillId="8" borderId="0" xfId="0" applyFont="1" applyFill="1"/>
    <xf numFmtId="9" fontId="8" fillId="3" borderId="0" xfId="0" applyNumberFormat="1" applyFont="1" applyFill="1" applyBorder="1"/>
    <xf numFmtId="9" fontId="8" fillId="0" borderId="0" xfId="0" applyNumberFormat="1" applyFont="1" applyFill="1"/>
    <xf numFmtId="0" fontId="19" fillId="0" borderId="1" xfId="0" applyFont="1" applyFill="1" applyBorder="1" applyAlignment="1">
      <alignment horizontal="center" vertical="center"/>
    </xf>
    <xf numFmtId="0" fontId="8" fillId="16" borderId="0" xfId="0" applyFont="1" applyFill="1"/>
    <xf numFmtId="0" fontId="8" fillId="3" borderId="0" xfId="3" applyFont="1" applyFill="1"/>
    <xf numFmtId="164" fontId="8" fillId="3" borderId="1" xfId="0" applyNumberFormat="1" applyFont="1" applyFill="1" applyBorder="1" applyAlignment="1">
      <alignment horizontal="center" vertical="center"/>
    </xf>
    <xf numFmtId="0" fontId="9" fillId="18" borderId="1" xfId="0" applyFont="1" applyFill="1" applyBorder="1" applyAlignment="1">
      <alignment vertical="center" wrapText="1"/>
    </xf>
    <xf numFmtId="164" fontId="9" fillId="0" borderId="1" xfId="0" quotePrefix="1" applyNumberFormat="1" applyFont="1" applyBorder="1" applyAlignment="1">
      <alignment horizontal="center" vertical="center"/>
    </xf>
    <xf numFmtId="0" fontId="23" fillId="16" borderId="0" xfId="10" applyFont="1" applyFill="1" applyBorder="1" applyAlignment="1" applyProtection="1">
      <alignment vertical="center" wrapText="1"/>
    </xf>
    <xf numFmtId="0" fontId="23" fillId="16" borderId="0" xfId="10" applyFont="1" applyFill="1" applyBorder="1"/>
    <xf numFmtId="0" fontId="25" fillId="11" borderId="8" xfId="0" applyFont="1" applyFill="1" applyBorder="1" applyAlignment="1">
      <alignment horizontal="center" wrapText="1" readingOrder="1"/>
    </xf>
    <xf numFmtId="0" fontId="25" fillId="9" borderId="1" xfId="0" applyFont="1" applyFill="1" applyBorder="1" applyAlignment="1">
      <alignment horizontal="center" vertical="center" wrapText="1" readingOrder="1"/>
    </xf>
    <xf numFmtId="0" fontId="24" fillId="0" borderId="1" xfId="0" applyFont="1" applyBorder="1" applyAlignment="1">
      <alignment horizontal="left" vertical="top" wrapText="1" readingOrder="1"/>
    </xf>
    <xf numFmtId="0" fontId="24" fillId="0" borderId="1" xfId="0" applyFont="1" applyBorder="1" applyAlignment="1">
      <alignment vertical="top" wrapText="1" readingOrder="1"/>
    </xf>
    <xf numFmtId="0" fontId="25" fillId="10" borderId="1" xfId="0" applyFont="1" applyFill="1" applyBorder="1" applyAlignment="1">
      <alignment horizontal="center" vertical="center" wrapText="1" readingOrder="1"/>
    </xf>
    <xf numFmtId="0" fontId="25" fillId="8" borderId="1" xfId="0" applyFont="1" applyFill="1" applyBorder="1" applyAlignment="1">
      <alignment horizontal="center" vertical="center" wrapText="1" readingOrder="1"/>
    </xf>
    <xf numFmtId="0" fontId="25" fillId="5" borderId="1" xfId="0" applyFont="1" applyFill="1" applyBorder="1" applyAlignment="1">
      <alignment horizontal="center" vertical="center" wrapText="1" readingOrder="1"/>
    </xf>
    <xf numFmtId="0" fontId="25" fillId="7" borderId="1" xfId="0" applyFont="1" applyFill="1" applyBorder="1" applyAlignment="1">
      <alignment horizontal="center" vertical="center" wrapText="1" readingOrder="1"/>
    </xf>
    <xf numFmtId="0" fontId="22" fillId="14" borderId="1" xfId="9" applyFont="1" applyBorder="1" applyAlignment="1">
      <alignment horizontal="left" vertical="center"/>
    </xf>
    <xf numFmtId="0" fontId="22" fillId="14" borderId="1" xfId="9" applyFont="1" applyBorder="1" applyAlignment="1">
      <alignment horizontal="left" vertical="center" wrapText="1"/>
    </xf>
    <xf numFmtId="164" fontId="2" fillId="19" borderId="1" xfId="15" applyNumberFormat="1" applyBorder="1" applyAlignment="1">
      <alignment horizontal="center" vertical="center"/>
    </xf>
    <xf numFmtId="0" fontId="2" fillId="19" borderId="1" xfId="15" applyBorder="1" applyAlignment="1">
      <alignment vertical="center"/>
    </xf>
    <xf numFmtId="0" fontId="2" fillId="19" borderId="1" xfId="15" applyBorder="1" applyAlignment="1">
      <alignment horizontal="center" vertical="center"/>
    </xf>
    <xf numFmtId="0" fontId="2" fillId="19" borderId="1" xfId="15" applyBorder="1"/>
    <xf numFmtId="0" fontId="8" fillId="16" borderId="1" xfId="0" applyFont="1" applyFill="1" applyBorder="1" applyAlignment="1">
      <alignment horizontal="center" vertical="center"/>
    </xf>
    <xf numFmtId="0" fontId="14" fillId="16" borderId="1" xfId="0" applyFont="1" applyFill="1" applyBorder="1" applyAlignment="1">
      <alignment horizontal="center" vertical="center" wrapText="1"/>
    </xf>
    <xf numFmtId="0" fontId="8" fillId="16" borderId="1" xfId="0" applyFont="1" applyFill="1" applyBorder="1" applyAlignment="1">
      <alignment vertical="center" wrapText="1"/>
    </xf>
    <xf numFmtId="1" fontId="8" fillId="16" borderId="1" xfId="0" applyNumberFormat="1" applyFont="1" applyFill="1" applyBorder="1" applyAlignment="1">
      <alignment horizontal="center" vertical="center" wrapText="1"/>
    </xf>
    <xf numFmtId="0" fontId="27" fillId="3" borderId="0" xfId="0" applyFont="1" applyFill="1" applyBorder="1"/>
    <xf numFmtId="0" fontId="28" fillId="3" borderId="0" xfId="0" applyFont="1" applyFill="1" applyBorder="1"/>
    <xf numFmtId="0" fontId="9" fillId="12" borderId="5" xfId="0" applyFont="1" applyFill="1" applyBorder="1" applyAlignment="1">
      <alignment vertical="center"/>
    </xf>
    <xf numFmtId="0" fontId="8" fillId="0" borderId="0" xfId="0" applyFont="1" applyFill="1" applyBorder="1"/>
    <xf numFmtId="0" fontId="1" fillId="19" borderId="1" xfId="15" applyFont="1" applyBorder="1"/>
    <xf numFmtId="0" fontId="1" fillId="19" borderId="1" xfId="15" applyFont="1" applyBorder="1" applyAlignment="1">
      <alignment horizontal="center" vertical="center"/>
    </xf>
    <xf numFmtId="0" fontId="26" fillId="0" borderId="0" xfId="17" applyFont="1"/>
    <xf numFmtId="0" fontId="29" fillId="20" borderId="1" xfId="17" applyFont="1" applyFill="1" applyBorder="1" applyAlignment="1">
      <alignment horizontal="center" vertical="center" wrapText="1"/>
    </xf>
    <xf numFmtId="0" fontId="30" fillId="0" borderId="1" xfId="17" applyFont="1" applyBorder="1" applyAlignment="1">
      <alignment horizontal="justify" vertical="center" wrapText="1"/>
    </xf>
    <xf numFmtId="14" fontId="30" fillId="0" borderId="1" xfId="17" applyNumberFormat="1" applyFont="1" applyBorder="1" applyAlignment="1">
      <alignment horizontal="center" vertical="center" wrapText="1"/>
    </xf>
    <xf numFmtId="0" fontId="16" fillId="0" borderId="4" xfId="0" applyFont="1" applyFill="1" applyBorder="1" applyAlignment="1">
      <alignment vertical="top" wrapText="1"/>
    </xf>
    <xf numFmtId="0" fontId="6" fillId="0" borderId="0" xfId="0" applyFont="1"/>
    <xf numFmtId="0" fontId="31" fillId="0" borderId="12" xfId="0" applyFont="1" applyFill="1" applyBorder="1" applyAlignment="1">
      <alignment vertical="top" wrapText="1"/>
    </xf>
    <xf numFmtId="0" fontId="31" fillId="0" borderId="12" xfId="0" applyFont="1" applyFill="1" applyBorder="1" applyAlignment="1">
      <alignment vertical="center" wrapText="1"/>
    </xf>
    <xf numFmtId="14" fontId="19" fillId="5" borderId="1" xfId="0" applyNumberFormat="1" applyFont="1" applyFill="1" applyBorder="1" applyAlignment="1">
      <alignment horizontal="center" vertical="center"/>
    </xf>
    <xf numFmtId="0" fontId="19" fillId="16" borderId="1" xfId="0" applyFont="1" applyFill="1" applyBorder="1" applyAlignment="1">
      <alignment horizontal="center" vertical="center" wrapText="1"/>
    </xf>
    <xf numFmtId="164" fontId="31" fillId="8" borderId="1" xfId="0" applyNumberFormat="1" applyFont="1" applyFill="1" applyBorder="1" applyAlignment="1">
      <alignment horizontal="center" vertical="center"/>
    </xf>
    <xf numFmtId="0" fontId="31" fillId="3" borderId="1" xfId="0" applyFont="1" applyFill="1" applyBorder="1" applyAlignment="1">
      <alignment horizontal="center" vertical="center"/>
    </xf>
    <xf numFmtId="164" fontId="35" fillId="0" borderId="1" xfId="0" quotePrefix="1" applyNumberFormat="1" applyFont="1" applyBorder="1" applyAlignment="1">
      <alignment horizontal="center" vertical="center"/>
    </xf>
    <xf numFmtId="0" fontId="9" fillId="3" borderId="0" xfId="0" applyFont="1" applyFill="1" applyBorder="1" applyAlignment="1">
      <alignment vertical="top" wrapText="1"/>
    </xf>
    <xf numFmtId="0" fontId="37" fillId="15" borderId="1" xfId="10" applyFont="1" applyBorder="1" applyAlignment="1" applyProtection="1">
      <alignment vertical="center" wrapText="1"/>
    </xf>
    <xf numFmtId="0" fontId="37" fillId="15" borderId="1" xfId="10" applyFont="1" applyBorder="1" applyAlignment="1" applyProtection="1">
      <alignment horizontal="center" vertical="center" wrapText="1"/>
    </xf>
    <xf numFmtId="1" fontId="8" fillId="0" borderId="1" xfId="0" applyNumberFormat="1" applyFont="1" applyBorder="1" applyAlignment="1">
      <alignment horizontal="center" vertical="center" wrapText="1"/>
    </xf>
    <xf numFmtId="0" fontId="9" fillId="6" borderId="1" xfId="0" applyFont="1" applyFill="1" applyBorder="1" applyAlignment="1">
      <alignment horizontal="left" vertical="center" wrapText="1"/>
    </xf>
    <xf numFmtId="1" fontId="8" fillId="21" borderId="1" xfId="0" applyNumberFormat="1" applyFont="1" applyFill="1" applyBorder="1" applyAlignment="1">
      <alignment horizontal="center" vertical="center" wrapText="1"/>
    </xf>
    <xf numFmtId="0" fontId="9" fillId="21" borderId="1" xfId="0" applyFont="1" applyFill="1" applyBorder="1" applyAlignment="1">
      <alignment horizontal="left" vertical="center" wrapText="1"/>
    </xf>
    <xf numFmtId="0" fontId="34" fillId="0" borderId="1" xfId="3" applyFont="1" applyBorder="1" applyAlignment="1">
      <alignment vertical="center" wrapText="1"/>
    </xf>
    <xf numFmtId="14" fontId="30" fillId="0" borderId="1" xfId="3" applyNumberFormat="1" applyFont="1" applyBorder="1" applyAlignment="1">
      <alignment horizontal="center" vertical="center" wrapText="1"/>
    </xf>
    <xf numFmtId="0" fontId="30" fillId="0" borderId="1" xfId="3" applyFont="1" applyBorder="1" applyAlignment="1">
      <alignment horizontal="justify" vertical="center" wrapText="1"/>
    </xf>
    <xf numFmtId="0" fontId="6" fillId="0" borderId="0" xfId="3"/>
    <xf numFmtId="0" fontId="8" fillId="0" borderId="1" xfId="0" applyFont="1" applyFill="1" applyBorder="1" applyAlignment="1">
      <alignment vertical="center"/>
    </xf>
    <xf numFmtId="0" fontId="8" fillId="21" borderId="1" xfId="0" applyFont="1" applyFill="1" applyBorder="1" applyAlignment="1">
      <alignment vertical="center"/>
    </xf>
    <xf numFmtId="164" fontId="35" fillId="0" borderId="1" xfId="3" applyNumberFormat="1" applyFont="1" applyBorder="1" applyAlignment="1">
      <alignment horizontal="center" vertical="center"/>
    </xf>
    <xf numFmtId="0" fontId="34" fillId="0" borderId="1" xfId="0" applyFont="1" applyBorder="1" applyAlignment="1">
      <alignment vertical="center" wrapText="1"/>
    </xf>
    <xf numFmtId="0" fontId="33" fillId="20" borderId="1" xfId="16" applyFont="1" applyFill="1" applyBorder="1" applyAlignment="1">
      <alignment horizontal="center" vertical="center" wrapText="1"/>
    </xf>
    <xf numFmtId="0" fontId="32" fillId="20" borderId="1" xfId="17" applyFont="1" applyFill="1" applyBorder="1" applyAlignment="1">
      <alignment horizontal="left" vertical="center" wrapText="1"/>
    </xf>
    <xf numFmtId="0" fontId="22" fillId="8" borderId="1" xfId="17" applyFont="1" applyFill="1" applyBorder="1" applyAlignment="1">
      <alignment horizontal="left" vertical="center" wrapText="1"/>
    </xf>
    <xf numFmtId="0" fontId="22" fillId="8" borderId="1" xfId="17" applyFont="1" applyFill="1" applyBorder="1" applyAlignment="1">
      <alignment horizontal="left" vertical="center"/>
    </xf>
    <xf numFmtId="0" fontId="9" fillId="0" borderId="12" xfId="0" applyFont="1" applyFill="1" applyBorder="1" applyAlignment="1">
      <alignment horizontal="left" vertical="top" wrapText="1"/>
    </xf>
    <xf numFmtId="0" fontId="9" fillId="0" borderId="0" xfId="0" applyFont="1" applyFill="1" applyBorder="1" applyAlignment="1">
      <alignment horizontal="left" vertical="top" wrapText="1"/>
    </xf>
    <xf numFmtId="0" fontId="9" fillId="0" borderId="11" xfId="0" applyFont="1" applyFill="1" applyBorder="1" applyAlignment="1">
      <alignment horizontal="left" vertical="top" wrapText="1"/>
    </xf>
    <xf numFmtId="0" fontId="9" fillId="3" borderId="0" xfId="0" applyFont="1" applyFill="1" applyBorder="1" applyAlignment="1">
      <alignment horizontal="left" vertical="top" wrapText="1"/>
    </xf>
    <xf numFmtId="0" fontId="9" fillId="3" borderId="11" xfId="0" applyFont="1" applyFill="1" applyBorder="1" applyAlignment="1">
      <alignment horizontal="left" vertical="top" wrapText="1"/>
    </xf>
    <xf numFmtId="0" fontId="9" fillId="12" borderId="1" xfId="0" applyFont="1" applyFill="1" applyBorder="1" applyAlignment="1">
      <alignment horizontal="center" vertical="center"/>
    </xf>
    <xf numFmtId="0" fontId="20" fillId="13" borderId="1" xfId="8" applyFont="1" applyBorder="1" applyAlignment="1" applyProtection="1">
      <alignment horizontal="center" vertical="center" wrapText="1"/>
    </xf>
    <xf numFmtId="0" fontId="26" fillId="0" borderId="0" xfId="0" applyFont="1" applyFill="1" applyBorder="1" applyAlignment="1">
      <alignment horizontal="center"/>
    </xf>
    <xf numFmtId="0" fontId="9" fillId="21" borderId="5" xfId="0" applyFont="1" applyFill="1" applyBorder="1" applyAlignment="1">
      <alignment horizontal="center" vertical="center"/>
    </xf>
    <xf numFmtId="0" fontId="9" fillId="21" borderId="9" xfId="0" applyFont="1" applyFill="1" applyBorder="1" applyAlignment="1">
      <alignment horizontal="center" vertical="center"/>
    </xf>
    <xf numFmtId="0" fontId="9" fillId="21" borderId="10" xfId="0" applyFont="1" applyFill="1" applyBorder="1" applyAlignment="1">
      <alignment horizontal="center" vertical="center"/>
    </xf>
    <xf numFmtId="0" fontId="22" fillId="17" borderId="1" xfId="14" applyFont="1" applyBorder="1" applyAlignment="1">
      <alignment horizontal="center" vertical="center"/>
    </xf>
    <xf numFmtId="0" fontId="7" fillId="2" borderId="6" xfId="0" applyFont="1" applyFill="1" applyBorder="1" applyAlignment="1" applyProtection="1">
      <alignment horizontal="center" vertical="center" wrapText="1"/>
    </xf>
    <xf numFmtId="0" fontId="7" fillId="2" borderId="7" xfId="0" applyFont="1" applyFill="1" applyBorder="1" applyAlignment="1" applyProtection="1">
      <alignment horizontal="center" vertical="center" wrapText="1"/>
    </xf>
    <xf numFmtId="0" fontId="8" fillId="0" borderId="0" xfId="0" applyFont="1" applyFill="1" applyBorder="1" applyAlignment="1">
      <alignment horizontal="center"/>
    </xf>
  </cellXfs>
  <cellStyles count="18">
    <cellStyle name="60% - Énfasis3" xfId="10" builtinId="40"/>
    <cellStyle name="60% - Énfasis3 2" xfId="13" xr:uid="{00000000-0005-0000-0000-000001000000}"/>
    <cellStyle name="60% - Énfasis4" xfId="15" builtinId="44"/>
    <cellStyle name="Bueno" xfId="8" builtinId="26"/>
    <cellStyle name="Énfasis3" xfId="9" builtinId="37"/>
    <cellStyle name="l]_x000d__x000a_Path=M:\RIOCEN01_x000d__x000a_Name=Carlos Emilio Brousse_x000d__x000a_DDEApps=nsf,nsg,nsh,ntf,ns2,ors,org_x000d__x000a_SmartIcons=Todos_x000d__x000a_" xfId="1" xr:uid="{00000000-0005-0000-0000-000005000000}"/>
    <cellStyle name="l]_x000d__x000a_Path=M:\RIOCEN01_x000d__x000a_Name=Carlos Emilio Brousse_x000d__x000a_DDEApps=nsf,nsg,nsh,ntf,ns2,ors,org_x000d__x000a_SmartIcons=Todos_x000d__x000a_ 2" xfId="2" xr:uid="{00000000-0005-0000-0000-000006000000}"/>
    <cellStyle name="Neutral" xfId="14" builtinId="28"/>
    <cellStyle name="Normal" xfId="0" builtinId="0"/>
    <cellStyle name="Normal 2" xfId="3" xr:uid="{00000000-0005-0000-0000-000009000000}"/>
    <cellStyle name="Normal 2 2" xfId="17" xr:uid="{00000000-0005-0000-0000-00000A000000}"/>
    <cellStyle name="Normal 3" xfId="4" xr:uid="{00000000-0005-0000-0000-00000B000000}"/>
    <cellStyle name="Normal 3 2" xfId="5" xr:uid="{00000000-0005-0000-0000-00000C000000}"/>
    <cellStyle name="Normal 4" xfId="6" xr:uid="{00000000-0005-0000-0000-00000D000000}"/>
    <cellStyle name="Normal 4 2" xfId="7" xr:uid="{00000000-0005-0000-0000-00000E000000}"/>
    <cellStyle name="Normal 4 2 2" xfId="12" xr:uid="{00000000-0005-0000-0000-00000F000000}"/>
    <cellStyle name="Normal 4 3" xfId="11" xr:uid="{00000000-0005-0000-0000-000010000000}"/>
    <cellStyle name="Normal_Tipología actualizada de riesgos 2" xfId="16" xr:uid="{00000000-0005-0000-0000-000011000000}"/>
  </cellStyles>
  <dxfs count="391">
    <dxf>
      <fill>
        <patternFill>
          <bgColor rgb="FF009900"/>
        </patternFill>
      </fill>
    </dxf>
    <dxf>
      <fill>
        <patternFill>
          <bgColor rgb="FFFFFF00"/>
        </patternFill>
      </fill>
    </dxf>
    <dxf>
      <fill>
        <patternFill>
          <bgColor rgb="FFFFC000"/>
        </patternFill>
      </fill>
    </dxf>
    <dxf>
      <fill>
        <patternFill>
          <bgColor rgb="FFFF0000"/>
        </patternFill>
      </fill>
    </dxf>
    <dxf>
      <fill>
        <patternFill>
          <bgColor rgb="FFA40000"/>
        </patternFill>
      </fill>
    </dxf>
    <dxf>
      <fill>
        <patternFill>
          <bgColor theme="0" tint="-0.24994659260841701"/>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44</xdr:col>
      <xdr:colOff>0</xdr:colOff>
      <xdr:row>11</xdr:row>
      <xdr:rowOff>87086</xdr:rowOff>
    </xdr:from>
    <xdr:ext cx="1615763" cy="311496"/>
    <xdr:sp macro="" textlink="">
      <xdr:nvSpPr>
        <xdr:cNvPr id="3" name="CuadroTexto 2">
          <a:extLst>
            <a:ext uri="{FF2B5EF4-FFF2-40B4-BE49-F238E27FC236}">
              <a16:creationId xmlns:a16="http://schemas.microsoft.com/office/drawing/2014/main" id="{23882F06-6C68-4B69-B946-0AB2089610F1}"/>
            </a:ext>
          </a:extLst>
        </xdr:cNvPr>
        <xdr:cNvSpPr txBox="1"/>
      </xdr:nvSpPr>
      <xdr:spPr>
        <a:xfrm>
          <a:off x="66315771" y="4038600"/>
          <a:ext cx="161576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400" b="1"/>
            <a:t>Celdas modificadas</a:t>
          </a:r>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2:E9"/>
  <sheetViews>
    <sheetView showGridLines="0" tabSelected="1" workbookViewId="0">
      <selection activeCell="E13" sqref="E13"/>
    </sheetView>
  </sheetViews>
  <sheetFormatPr baseColWidth="10" defaultRowHeight="12.75" x14ac:dyDescent="0.2"/>
  <cols>
    <col min="1" max="1" width="2" customWidth="1"/>
    <col min="2" max="2" width="28.28515625" bestFit="1" customWidth="1"/>
    <col min="3" max="3" width="24.140625" bestFit="1" customWidth="1"/>
    <col min="4" max="4" width="42" customWidth="1"/>
    <col min="5" max="5" width="34.140625" customWidth="1"/>
  </cols>
  <sheetData>
    <row r="2" spans="2:5" ht="15.75" x14ac:dyDescent="0.2">
      <c r="B2" s="87" t="s">
        <v>91</v>
      </c>
      <c r="C2" s="87"/>
      <c r="D2" s="87"/>
      <c r="E2" s="87"/>
    </row>
    <row r="3" spans="2:5" x14ac:dyDescent="0.2">
      <c r="B3" s="59"/>
      <c r="C3" s="59"/>
      <c r="D3" s="59"/>
      <c r="E3" s="59"/>
    </row>
    <row r="4" spans="2:5" ht="15" x14ac:dyDescent="0.2">
      <c r="B4" s="88" t="s">
        <v>83</v>
      </c>
      <c r="C4" s="88"/>
      <c r="D4" s="89" t="s">
        <v>117</v>
      </c>
      <c r="E4" s="90"/>
    </row>
    <row r="5" spans="2:5" x14ac:dyDescent="0.2">
      <c r="B5" s="59"/>
      <c r="C5" s="59"/>
      <c r="D5" s="59"/>
      <c r="E5" s="59"/>
    </row>
    <row r="6" spans="2:5" ht="15.75" x14ac:dyDescent="0.2">
      <c r="B6" s="60" t="s">
        <v>84</v>
      </c>
      <c r="C6" s="60" t="s">
        <v>85</v>
      </c>
      <c r="D6" s="60" t="s">
        <v>86</v>
      </c>
      <c r="E6" s="60" t="s">
        <v>87</v>
      </c>
    </row>
    <row r="7" spans="2:5" ht="57.75" customHeight="1" x14ac:dyDescent="0.2">
      <c r="B7" s="86" t="s">
        <v>88</v>
      </c>
      <c r="C7" s="86" t="s">
        <v>118</v>
      </c>
      <c r="D7" s="62">
        <v>44277</v>
      </c>
      <c r="E7" s="61"/>
    </row>
    <row r="8" spans="2:5" s="82" customFormat="1" ht="62.25" customHeight="1" x14ac:dyDescent="0.2">
      <c r="B8" s="79" t="s">
        <v>114</v>
      </c>
      <c r="C8" s="79" t="s">
        <v>115</v>
      </c>
      <c r="D8" s="80"/>
      <c r="E8" s="81"/>
    </row>
    <row r="9" spans="2:5" ht="57.75" customHeight="1" x14ac:dyDescent="0.2">
      <c r="B9" s="86" t="s">
        <v>89</v>
      </c>
      <c r="C9" s="86" t="s">
        <v>90</v>
      </c>
      <c r="D9" s="62"/>
      <c r="E9" s="61"/>
    </row>
  </sheetData>
  <mergeCells count="3">
    <mergeCell ref="B2:E2"/>
    <mergeCell ref="B4:C4"/>
    <mergeCell ref="D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pageSetUpPr fitToPage="1"/>
  </sheetPr>
  <dimension ref="B1:C6"/>
  <sheetViews>
    <sheetView showGridLines="0" zoomScale="90" zoomScaleNormal="90" workbookViewId="0">
      <selection activeCell="C3" sqref="C3"/>
    </sheetView>
  </sheetViews>
  <sheetFormatPr baseColWidth="10" defaultColWidth="11.5703125" defaultRowHeight="12.75" x14ac:dyDescent="0.2"/>
  <cols>
    <col min="1" max="1" width="3.140625" style="1" customWidth="1"/>
    <col min="2" max="2" width="40" style="1" customWidth="1"/>
    <col min="3" max="3" width="79.140625" style="1" customWidth="1"/>
    <col min="4" max="16384" width="11.5703125" style="1"/>
  </cols>
  <sheetData>
    <row r="1" spans="2:3" ht="12.6" customHeight="1" x14ac:dyDescent="0.2"/>
    <row r="2" spans="2:3" ht="85.5" customHeight="1" x14ac:dyDescent="0.2">
      <c r="B2" s="43" t="s">
        <v>61</v>
      </c>
      <c r="C2" s="67">
        <v>44277</v>
      </c>
    </row>
    <row r="3" spans="2:3" ht="85.5" customHeight="1" x14ac:dyDescent="0.2">
      <c r="B3" s="43" t="s">
        <v>62</v>
      </c>
      <c r="C3" s="68" t="s">
        <v>119</v>
      </c>
    </row>
    <row r="4" spans="2:3" ht="85.5" customHeight="1" x14ac:dyDescent="0.2">
      <c r="B4" s="43" t="s">
        <v>63</v>
      </c>
      <c r="C4" s="68" t="s">
        <v>120</v>
      </c>
    </row>
    <row r="5" spans="2:3" ht="85.5" customHeight="1" x14ac:dyDescent="0.2">
      <c r="B5" s="44" t="s">
        <v>64</v>
      </c>
      <c r="C5" s="27" t="s">
        <v>108</v>
      </c>
    </row>
    <row r="6" spans="2:3" ht="85.5" customHeight="1" x14ac:dyDescent="0.2">
      <c r="B6" s="44" t="s">
        <v>65</v>
      </c>
      <c r="C6" s="27" t="s">
        <v>74</v>
      </c>
    </row>
  </sheetData>
  <sheetProtection insertColumns="0" insertRows="0" deleteColumns="0" deleteRows="0" autoFilter="0"/>
  <dataConsolidate/>
  <conditionalFormatting sqref="C2:C3">
    <cfRule type="colorScale" priority="6">
      <colorScale>
        <cfvo type="num" val="0"/>
        <cfvo type="num" val="0"/>
        <color rgb="FFFFFFFF"/>
        <color rgb="FFFFFFFF"/>
      </colorScale>
    </cfRule>
  </conditionalFormatting>
  <conditionalFormatting sqref="C4">
    <cfRule type="colorScale" priority="5">
      <colorScale>
        <cfvo type="num" val="0"/>
        <cfvo type="num" val="0"/>
        <color rgb="FFFFFFFF"/>
        <color rgb="FFFFFFFF"/>
      </colorScale>
    </cfRule>
  </conditionalFormatting>
  <conditionalFormatting sqref="C2:C3">
    <cfRule type="colorScale" priority="4">
      <colorScale>
        <cfvo type="num" val="0"/>
        <cfvo type="num" val="0"/>
        <color rgb="FFFFFFFF"/>
        <color rgb="FFFFFFFF"/>
      </colorScale>
    </cfRule>
  </conditionalFormatting>
  <conditionalFormatting sqref="C4">
    <cfRule type="colorScale" priority="3">
      <colorScale>
        <cfvo type="num" val="0"/>
        <cfvo type="num" val="0"/>
        <color rgb="FFFFFFFF"/>
        <color rgb="FFFFFFFF"/>
      </colorScale>
    </cfRule>
  </conditionalFormatting>
  <conditionalFormatting sqref="C5">
    <cfRule type="colorScale" priority="2">
      <colorScale>
        <cfvo type="num" val="0"/>
        <cfvo type="num" val="0"/>
        <color rgb="FFFFFFFF"/>
        <color rgb="FFFFFFFF"/>
      </colorScale>
    </cfRule>
  </conditionalFormatting>
  <conditionalFormatting sqref="C6">
    <cfRule type="colorScale" priority="1">
      <colorScale>
        <cfvo type="num" val="0"/>
        <cfvo type="num" val="0"/>
        <color rgb="FFFFFFFF"/>
        <color rgb="FFFFFFFF"/>
      </colorScale>
    </cfRule>
  </conditionalFormatting>
  <pageMargins left="0.39370078740157483" right="0.19685039370078741" top="0.39370078740157483" bottom="0.19685039370078741" header="0.15748031496062992" footer="0.15748031496062992"/>
  <pageSetup paperSize="9" scale="71" orientation="landscape" r:id="rId1"/>
  <headerFooter alignWithMargins="0">
    <oddHeader>&amp;A</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00B050"/>
  </sheetPr>
  <dimension ref="A1:FJ1446"/>
  <sheetViews>
    <sheetView showGridLines="0" zoomScaleNormal="100" zoomScaleSheetLayoutView="110" workbookViewId="0">
      <pane xSplit="4" ySplit="1" topLeftCell="AH2" activePane="bottomRight" state="frozen"/>
      <selection pane="topRight" activeCell="I1" sqref="I1"/>
      <selection pane="bottomLeft" activeCell="A2" sqref="A2"/>
      <selection pane="bottomRight" activeCell="AK6" sqref="AK6"/>
    </sheetView>
  </sheetViews>
  <sheetFormatPr baseColWidth="10" defaultColWidth="0" defaultRowHeight="12.75" zeroHeight="1" x14ac:dyDescent="0.2"/>
  <cols>
    <col min="1" max="1" width="3.28515625" style="8" customWidth="1"/>
    <col min="2" max="2" width="39.140625" style="8" customWidth="1"/>
    <col min="3" max="3" width="11.28515625" style="8" customWidth="1"/>
    <col min="4" max="4" width="37.28515625" style="8" customWidth="1"/>
    <col min="5" max="34" width="16.5703125" style="2" customWidth="1"/>
    <col min="35" max="38" width="17.42578125" style="2" customWidth="1"/>
    <col min="39" max="102" width="11.5703125" style="2" customWidth="1"/>
    <col min="103" max="166" width="0" style="2" hidden="1" customWidth="1"/>
    <col min="167" max="16384" width="9.140625" style="2" hidden="1"/>
  </cols>
  <sheetData>
    <row r="1" spans="1:80" ht="24" customHeight="1" x14ac:dyDescent="0.25">
      <c r="A1" s="98"/>
      <c r="B1" s="33"/>
      <c r="C1" s="33"/>
      <c r="D1" s="34"/>
      <c r="E1" s="97" t="s">
        <v>43</v>
      </c>
      <c r="F1" s="97"/>
      <c r="G1" s="97"/>
      <c r="H1" s="97"/>
      <c r="I1" s="97"/>
      <c r="J1" s="97"/>
      <c r="K1" s="97" t="s">
        <v>44</v>
      </c>
      <c r="L1" s="97"/>
      <c r="M1" s="97"/>
      <c r="N1" s="97"/>
      <c r="O1" s="97"/>
      <c r="P1" s="97"/>
      <c r="Q1" s="97" t="s">
        <v>0</v>
      </c>
      <c r="R1" s="97"/>
      <c r="S1" s="97"/>
      <c r="T1" s="97"/>
      <c r="U1" s="97"/>
      <c r="V1" s="97"/>
      <c r="W1" s="97" t="s">
        <v>16</v>
      </c>
      <c r="X1" s="97"/>
      <c r="Y1" s="97"/>
      <c r="Z1" s="97"/>
      <c r="AA1" s="97"/>
      <c r="AB1" s="97"/>
      <c r="AC1" s="97" t="s">
        <v>17</v>
      </c>
      <c r="AD1" s="97"/>
      <c r="AE1" s="97"/>
      <c r="AF1" s="97"/>
      <c r="AG1" s="97"/>
      <c r="AH1" s="97"/>
      <c r="AI1" s="96" t="s">
        <v>58</v>
      </c>
      <c r="AJ1" s="96"/>
      <c r="AK1" s="96"/>
      <c r="AL1" s="96"/>
      <c r="AM1" s="6"/>
      <c r="AN1" s="6"/>
      <c r="AO1" s="6"/>
    </row>
    <row r="2" spans="1:80" ht="51.6" customHeight="1" x14ac:dyDescent="0.2">
      <c r="A2" s="98"/>
      <c r="B2" s="73" t="s">
        <v>77</v>
      </c>
      <c r="C2" s="74" t="s">
        <v>68</v>
      </c>
      <c r="D2" s="73" t="s">
        <v>14</v>
      </c>
      <c r="E2" s="17" t="s">
        <v>13</v>
      </c>
      <c r="F2" s="17" t="s">
        <v>8</v>
      </c>
      <c r="G2" s="17" t="s">
        <v>9</v>
      </c>
      <c r="H2" s="17" t="s">
        <v>10</v>
      </c>
      <c r="I2" s="17" t="s">
        <v>11</v>
      </c>
      <c r="J2" s="17" t="s">
        <v>12</v>
      </c>
      <c r="K2" s="17" t="s">
        <v>13</v>
      </c>
      <c r="L2" s="17" t="s">
        <v>8</v>
      </c>
      <c r="M2" s="17" t="s">
        <v>9</v>
      </c>
      <c r="N2" s="17" t="s">
        <v>10</v>
      </c>
      <c r="O2" s="17" t="s">
        <v>11</v>
      </c>
      <c r="P2" s="17" t="s">
        <v>12</v>
      </c>
      <c r="Q2" s="17" t="s">
        <v>13</v>
      </c>
      <c r="R2" s="17" t="s">
        <v>8</v>
      </c>
      <c r="S2" s="17" t="s">
        <v>9</v>
      </c>
      <c r="T2" s="17" t="s">
        <v>10</v>
      </c>
      <c r="U2" s="17" t="s">
        <v>11</v>
      </c>
      <c r="V2" s="17" t="s">
        <v>12</v>
      </c>
      <c r="W2" s="17" t="s">
        <v>13</v>
      </c>
      <c r="X2" s="17" t="s">
        <v>8</v>
      </c>
      <c r="Y2" s="17" t="s">
        <v>9</v>
      </c>
      <c r="Z2" s="17" t="s">
        <v>10</v>
      </c>
      <c r="AA2" s="17" t="s">
        <v>11</v>
      </c>
      <c r="AB2" s="17" t="s">
        <v>12</v>
      </c>
      <c r="AC2" s="17" t="s">
        <v>13</v>
      </c>
      <c r="AD2" s="17" t="s">
        <v>8</v>
      </c>
      <c r="AE2" s="17" t="s">
        <v>9</v>
      </c>
      <c r="AF2" s="17" t="s">
        <v>10</v>
      </c>
      <c r="AG2" s="17" t="s">
        <v>11</v>
      </c>
      <c r="AH2" s="17" t="s">
        <v>12</v>
      </c>
      <c r="AI2" s="22" t="s">
        <v>67</v>
      </c>
      <c r="AJ2" s="23" t="s">
        <v>59</v>
      </c>
      <c r="AK2" s="23" t="s">
        <v>69</v>
      </c>
      <c r="AL2" s="23" t="s">
        <v>78</v>
      </c>
      <c r="AM2" s="6"/>
      <c r="AN2" s="6"/>
      <c r="AO2" s="6"/>
    </row>
    <row r="3" spans="1:80" s="20" customFormat="1" ht="43.9" customHeight="1" x14ac:dyDescent="0.2">
      <c r="A3" s="98"/>
      <c r="B3" s="83" t="s">
        <v>117</v>
      </c>
      <c r="C3" s="75">
        <v>17896</v>
      </c>
      <c r="D3" s="76" t="s">
        <v>82</v>
      </c>
      <c r="E3" s="32" t="s">
        <v>56</v>
      </c>
      <c r="F3" s="32" t="s">
        <v>2</v>
      </c>
      <c r="G3" s="32" t="s">
        <v>66</v>
      </c>
      <c r="H3" s="71" t="s">
        <v>1</v>
      </c>
      <c r="I3" s="71" t="s">
        <v>1</v>
      </c>
      <c r="J3" s="71" t="s">
        <v>1</v>
      </c>
      <c r="K3" s="32" t="s">
        <v>55</v>
      </c>
      <c r="L3" s="32" t="s">
        <v>2</v>
      </c>
      <c r="M3" s="32" t="s">
        <v>2</v>
      </c>
      <c r="N3" s="32" t="s">
        <v>2</v>
      </c>
      <c r="O3" s="32" t="s">
        <v>66</v>
      </c>
      <c r="P3" s="32" t="s">
        <v>66</v>
      </c>
      <c r="Q3" s="32" t="s">
        <v>56</v>
      </c>
      <c r="R3" s="32" t="s">
        <v>2</v>
      </c>
      <c r="S3" s="32" t="s">
        <v>66</v>
      </c>
      <c r="T3" s="71" t="s">
        <v>1</v>
      </c>
      <c r="U3" s="71" t="s">
        <v>1</v>
      </c>
      <c r="V3" s="32" t="s">
        <v>66</v>
      </c>
      <c r="W3" s="32" t="s">
        <v>55</v>
      </c>
      <c r="X3" s="32" t="s">
        <v>56</v>
      </c>
      <c r="Y3" s="32" t="s">
        <v>2</v>
      </c>
      <c r="Z3" s="32" t="s">
        <v>66</v>
      </c>
      <c r="AA3" s="71" t="s">
        <v>1</v>
      </c>
      <c r="AB3" s="71" t="s">
        <v>1</v>
      </c>
      <c r="AC3" s="32" t="s">
        <v>56</v>
      </c>
      <c r="AD3" s="32" t="s">
        <v>66</v>
      </c>
      <c r="AE3" s="71" t="s">
        <v>1</v>
      </c>
      <c r="AF3" s="71" t="s">
        <v>1</v>
      </c>
      <c r="AG3" s="71" t="s">
        <v>1</v>
      </c>
      <c r="AH3" s="71" t="s">
        <v>1</v>
      </c>
      <c r="AI3" s="85" t="str">
        <f>VLOOKUP('Análisis Impacto (Calculos)'!AM3,'Análisis Impacto (Calculos)'!$B$14:$C$18,2,0)</f>
        <v>Alto</v>
      </c>
      <c r="AJ3" s="21" t="str">
        <f>'Análisis Impacto (Calculos)'!AS3</f>
        <v>Clientes</v>
      </c>
      <c r="AK3" s="21" t="s">
        <v>80</v>
      </c>
      <c r="AL3" s="21" t="s">
        <v>116</v>
      </c>
      <c r="AM3" s="19"/>
      <c r="AN3" s="19"/>
      <c r="AO3" s="19"/>
    </row>
    <row r="4" spans="1:80" s="20" customFormat="1" ht="43.9" customHeight="1" x14ac:dyDescent="0.2">
      <c r="A4" s="98"/>
      <c r="B4" s="84" t="s">
        <v>117</v>
      </c>
      <c r="C4" s="77">
        <v>17896</v>
      </c>
      <c r="D4" s="78" t="s">
        <v>102</v>
      </c>
      <c r="E4" s="99" t="s">
        <v>103</v>
      </c>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1"/>
      <c r="AM4" s="19"/>
      <c r="AN4" s="19"/>
      <c r="AO4" s="19"/>
    </row>
    <row r="5" spans="1:80" s="20" customFormat="1" ht="43.9" customHeight="1" x14ac:dyDescent="0.2">
      <c r="A5" s="98"/>
      <c r="B5" s="83" t="s">
        <v>117</v>
      </c>
      <c r="C5" s="75">
        <v>17896</v>
      </c>
      <c r="D5" s="76" t="s">
        <v>6</v>
      </c>
      <c r="E5" s="32" t="s">
        <v>56</v>
      </c>
      <c r="F5" s="32" t="s">
        <v>2</v>
      </c>
      <c r="G5" s="32" t="s">
        <v>66</v>
      </c>
      <c r="H5" s="71" t="s">
        <v>1</v>
      </c>
      <c r="I5" s="71" t="s">
        <v>1</v>
      </c>
      <c r="J5" s="71" t="s">
        <v>1</v>
      </c>
      <c r="K5" s="32" t="s">
        <v>55</v>
      </c>
      <c r="L5" s="32" t="s">
        <v>2</v>
      </c>
      <c r="M5" s="32" t="s">
        <v>2</v>
      </c>
      <c r="N5" s="32" t="s">
        <v>2</v>
      </c>
      <c r="O5" s="32" t="s">
        <v>66</v>
      </c>
      <c r="P5" s="32" t="s">
        <v>66</v>
      </c>
      <c r="Q5" s="32" t="s">
        <v>56</v>
      </c>
      <c r="R5" s="32" t="s">
        <v>2</v>
      </c>
      <c r="S5" s="32" t="s">
        <v>66</v>
      </c>
      <c r="T5" s="71" t="s">
        <v>1</v>
      </c>
      <c r="U5" s="71" t="s">
        <v>1</v>
      </c>
      <c r="V5" s="32" t="s">
        <v>66</v>
      </c>
      <c r="W5" s="32" t="s">
        <v>55</v>
      </c>
      <c r="X5" s="32" t="s">
        <v>56</v>
      </c>
      <c r="Y5" s="32" t="s">
        <v>2</v>
      </c>
      <c r="Z5" s="32" t="s">
        <v>66</v>
      </c>
      <c r="AA5" s="71" t="s">
        <v>1</v>
      </c>
      <c r="AB5" s="71" t="s">
        <v>1</v>
      </c>
      <c r="AC5" s="32" t="s">
        <v>56</v>
      </c>
      <c r="AD5" s="32" t="s">
        <v>66</v>
      </c>
      <c r="AE5" s="71" t="s">
        <v>1</v>
      </c>
      <c r="AF5" s="71" t="s">
        <v>1</v>
      </c>
      <c r="AG5" s="71" t="s">
        <v>1</v>
      </c>
      <c r="AH5" s="71" t="s">
        <v>1</v>
      </c>
      <c r="AI5" s="85" t="str">
        <f>VLOOKUP('Análisis Impacto (Calculos)'!AM4,'Análisis Impacto (Calculos)'!$B$14:$C$18,2,0)</f>
        <v>Alto</v>
      </c>
      <c r="AJ5" s="21" t="str">
        <f>'Análisis Impacto (Calculos)'!AS4</f>
        <v>Clientes</v>
      </c>
      <c r="AK5" s="21" t="s">
        <v>80</v>
      </c>
      <c r="AL5" s="21" t="s">
        <v>116</v>
      </c>
      <c r="AM5" s="19"/>
      <c r="AN5" s="19"/>
      <c r="AO5" s="19"/>
    </row>
    <row r="6" spans="1:80" s="20" customFormat="1" ht="43.9" customHeight="1" x14ac:dyDescent="0.2">
      <c r="A6" s="98"/>
      <c r="B6" s="83" t="s">
        <v>117</v>
      </c>
      <c r="C6" s="75">
        <v>17896</v>
      </c>
      <c r="D6" s="76" t="s">
        <v>15</v>
      </c>
      <c r="E6" s="32" t="s">
        <v>56</v>
      </c>
      <c r="F6" s="32" t="s">
        <v>2</v>
      </c>
      <c r="G6" s="32" t="s">
        <v>66</v>
      </c>
      <c r="H6" s="71" t="s">
        <v>1</v>
      </c>
      <c r="I6" s="71" t="s">
        <v>1</v>
      </c>
      <c r="J6" s="71" t="s">
        <v>1</v>
      </c>
      <c r="K6" s="32" t="s">
        <v>55</v>
      </c>
      <c r="L6" s="32" t="s">
        <v>2</v>
      </c>
      <c r="M6" s="32" t="s">
        <v>2</v>
      </c>
      <c r="N6" s="32" t="s">
        <v>2</v>
      </c>
      <c r="O6" s="32" t="s">
        <v>66</v>
      </c>
      <c r="P6" s="32" t="s">
        <v>66</v>
      </c>
      <c r="Q6" s="32" t="s">
        <v>56</v>
      </c>
      <c r="R6" s="32" t="s">
        <v>2</v>
      </c>
      <c r="S6" s="32" t="s">
        <v>66</v>
      </c>
      <c r="T6" s="71" t="s">
        <v>1</v>
      </c>
      <c r="U6" s="71" t="s">
        <v>1</v>
      </c>
      <c r="V6" s="32" t="s">
        <v>66</v>
      </c>
      <c r="W6" s="32" t="s">
        <v>55</v>
      </c>
      <c r="X6" s="32" t="s">
        <v>56</v>
      </c>
      <c r="Y6" s="32" t="s">
        <v>2</v>
      </c>
      <c r="Z6" s="32" t="s">
        <v>66</v>
      </c>
      <c r="AA6" s="71" t="s">
        <v>1</v>
      </c>
      <c r="AB6" s="71" t="s">
        <v>1</v>
      </c>
      <c r="AC6" s="32" t="s">
        <v>56</v>
      </c>
      <c r="AD6" s="32" t="s">
        <v>66</v>
      </c>
      <c r="AE6" s="71" t="s">
        <v>1</v>
      </c>
      <c r="AF6" s="71" t="s">
        <v>1</v>
      </c>
      <c r="AG6" s="71" t="s">
        <v>1</v>
      </c>
      <c r="AH6" s="71" t="s">
        <v>1</v>
      </c>
      <c r="AI6" s="85" t="str">
        <f>VLOOKUP('Análisis Impacto (Calculos)'!AM5,'Análisis Impacto (Calculos)'!$B$14:$C$18,2,0)</f>
        <v>Alto</v>
      </c>
      <c r="AJ6" s="21" t="str">
        <f>'Análisis Impacto (Calculos)'!AS5</f>
        <v>Clientes</v>
      </c>
      <c r="AK6" s="21" t="s">
        <v>80</v>
      </c>
      <c r="AL6" s="21" t="s">
        <v>116</v>
      </c>
      <c r="AM6" s="19"/>
      <c r="AN6" s="19"/>
      <c r="AO6" s="19"/>
    </row>
    <row r="7" spans="1:80" s="20" customFormat="1" ht="43.9" customHeight="1" x14ac:dyDescent="0.2">
      <c r="A7" s="98"/>
      <c r="B7" s="83" t="s">
        <v>117</v>
      </c>
      <c r="C7" s="75">
        <v>17896</v>
      </c>
      <c r="D7" s="76" t="s">
        <v>7</v>
      </c>
      <c r="E7" s="32" t="s">
        <v>56</v>
      </c>
      <c r="F7" s="32" t="s">
        <v>2</v>
      </c>
      <c r="G7" s="32" t="s">
        <v>66</v>
      </c>
      <c r="H7" s="71" t="s">
        <v>1</v>
      </c>
      <c r="I7" s="71" t="s">
        <v>1</v>
      </c>
      <c r="J7" s="71" t="s">
        <v>1</v>
      </c>
      <c r="K7" s="32" t="s">
        <v>55</v>
      </c>
      <c r="L7" s="32" t="s">
        <v>2</v>
      </c>
      <c r="M7" s="32" t="s">
        <v>2</v>
      </c>
      <c r="N7" s="32" t="s">
        <v>2</v>
      </c>
      <c r="O7" s="32" t="s">
        <v>66</v>
      </c>
      <c r="P7" s="32" t="s">
        <v>66</v>
      </c>
      <c r="Q7" s="32" t="s">
        <v>56</v>
      </c>
      <c r="R7" s="32" t="s">
        <v>2</v>
      </c>
      <c r="S7" s="32" t="s">
        <v>66</v>
      </c>
      <c r="T7" s="71" t="s">
        <v>1</v>
      </c>
      <c r="U7" s="71" t="s">
        <v>1</v>
      </c>
      <c r="V7" s="32" t="s">
        <v>66</v>
      </c>
      <c r="W7" s="32" t="s">
        <v>55</v>
      </c>
      <c r="X7" s="32" t="s">
        <v>56</v>
      </c>
      <c r="Y7" s="32" t="s">
        <v>2</v>
      </c>
      <c r="Z7" s="32" t="s">
        <v>66</v>
      </c>
      <c r="AA7" s="71" t="s">
        <v>1</v>
      </c>
      <c r="AB7" s="71" t="s">
        <v>1</v>
      </c>
      <c r="AC7" s="32" t="s">
        <v>56</v>
      </c>
      <c r="AD7" s="32" t="s">
        <v>66</v>
      </c>
      <c r="AE7" s="71" t="s">
        <v>1</v>
      </c>
      <c r="AF7" s="71" t="s">
        <v>1</v>
      </c>
      <c r="AG7" s="71" t="s">
        <v>1</v>
      </c>
      <c r="AH7" s="71" t="s">
        <v>1</v>
      </c>
      <c r="AI7" s="85" t="str">
        <f>VLOOKUP('Análisis Impacto (Calculos)'!AM6,'Análisis Impacto (Calculos)'!$B$14:$C$18,2,0)</f>
        <v>Alto</v>
      </c>
      <c r="AJ7" s="21" t="str">
        <f>'Análisis Impacto (Calculos)'!AS6</f>
        <v>Clientes</v>
      </c>
      <c r="AK7" s="21" t="s">
        <v>80</v>
      </c>
      <c r="AL7" s="21" t="s">
        <v>116</v>
      </c>
      <c r="AM7" s="19"/>
      <c r="AN7" s="19"/>
      <c r="AO7" s="19"/>
    </row>
    <row r="8" spans="1:80" s="20" customFormat="1" ht="43.9" customHeight="1" x14ac:dyDescent="0.2">
      <c r="A8" s="7"/>
      <c r="B8" s="84" t="s">
        <v>117</v>
      </c>
      <c r="C8" s="77">
        <v>17896</v>
      </c>
      <c r="D8" s="78" t="s">
        <v>79</v>
      </c>
      <c r="E8" s="71" t="s">
        <v>1</v>
      </c>
      <c r="F8" s="71" t="s">
        <v>1</v>
      </c>
      <c r="G8" s="71" t="s">
        <v>1</v>
      </c>
      <c r="H8" s="71" t="s">
        <v>1</v>
      </c>
      <c r="I8" s="71" t="s">
        <v>1</v>
      </c>
      <c r="J8" s="71" t="s">
        <v>1</v>
      </c>
      <c r="K8" s="71" t="s">
        <v>1</v>
      </c>
      <c r="L8" s="71" t="s">
        <v>1</v>
      </c>
      <c r="M8" s="71" t="s">
        <v>1</v>
      </c>
      <c r="N8" s="71" t="s">
        <v>1</v>
      </c>
      <c r="O8" s="71" t="s">
        <v>1</v>
      </c>
      <c r="P8" s="71" t="s">
        <v>1</v>
      </c>
      <c r="Q8" s="71" t="s">
        <v>1</v>
      </c>
      <c r="R8" s="71" t="s">
        <v>1</v>
      </c>
      <c r="S8" s="71" t="s">
        <v>1</v>
      </c>
      <c r="T8" s="71" t="s">
        <v>1</v>
      </c>
      <c r="U8" s="71" t="s">
        <v>1</v>
      </c>
      <c r="V8" s="71" t="s">
        <v>1</v>
      </c>
      <c r="W8" s="71" t="s">
        <v>1</v>
      </c>
      <c r="X8" s="71" t="s">
        <v>1</v>
      </c>
      <c r="Y8" s="71" t="s">
        <v>1</v>
      </c>
      <c r="Z8" s="71" t="s">
        <v>1</v>
      </c>
      <c r="AA8" s="71" t="s">
        <v>1</v>
      </c>
      <c r="AB8" s="71" t="s">
        <v>1</v>
      </c>
      <c r="AC8" s="71" t="s">
        <v>1</v>
      </c>
      <c r="AD8" s="71" t="s">
        <v>1</v>
      </c>
      <c r="AE8" s="71" t="s">
        <v>1</v>
      </c>
      <c r="AF8" s="71" t="s">
        <v>1</v>
      </c>
      <c r="AG8" s="71" t="s">
        <v>1</v>
      </c>
      <c r="AH8" s="71" t="s">
        <v>1</v>
      </c>
      <c r="AI8" s="71" t="s">
        <v>1</v>
      </c>
      <c r="AJ8" s="21" t="s">
        <v>17</v>
      </c>
      <c r="AK8" s="21" t="s">
        <v>80</v>
      </c>
      <c r="AL8" s="21" t="s">
        <v>116</v>
      </c>
      <c r="AM8" s="19"/>
      <c r="AN8" s="19"/>
      <c r="AO8" s="19"/>
    </row>
    <row r="9" spans="1:80" x14ac:dyDescent="0.2">
      <c r="A9" s="7"/>
      <c r="B9" s="28"/>
      <c r="C9" s="7"/>
      <c r="D9" s="7"/>
      <c r="E9" s="4"/>
      <c r="F9" s="4"/>
      <c r="G9" s="4"/>
      <c r="H9" s="4"/>
      <c r="I9" s="4"/>
      <c r="J9" s="4"/>
      <c r="K9" s="4"/>
      <c r="L9" s="4"/>
      <c r="M9" s="4"/>
      <c r="N9" s="4"/>
      <c r="O9" s="4"/>
      <c r="P9" s="4"/>
      <c r="Q9" s="4"/>
      <c r="R9" s="4"/>
      <c r="S9" s="4"/>
      <c r="T9" s="4"/>
      <c r="U9" s="4"/>
      <c r="V9" s="4"/>
      <c r="W9" s="4"/>
      <c r="X9" s="4"/>
      <c r="Y9" s="4"/>
      <c r="Z9" s="4"/>
      <c r="AA9" s="4"/>
      <c r="AB9" s="4"/>
      <c r="AC9" s="4"/>
      <c r="AD9" s="4"/>
      <c r="AE9" s="4"/>
      <c r="AF9" s="56"/>
      <c r="AG9" s="56"/>
      <c r="AH9" s="4"/>
      <c r="AI9" s="6"/>
      <c r="AJ9" s="6"/>
      <c r="AK9" s="6"/>
      <c r="AL9" s="6"/>
      <c r="AM9" s="6"/>
      <c r="AN9" s="6"/>
      <c r="AO9" s="6"/>
      <c r="AP9" s="3"/>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row>
    <row r="10" spans="1:80" ht="28.5" customHeight="1" x14ac:dyDescent="0.25">
      <c r="A10" s="7"/>
      <c r="B10" s="94" t="s">
        <v>104</v>
      </c>
      <c r="C10" s="94"/>
      <c r="D10" s="95"/>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54"/>
      <c r="AH10" s="4"/>
      <c r="AJ10" s="6"/>
      <c r="AK10" s="65" t="s">
        <v>100</v>
      </c>
      <c r="AL10" s="69" t="s">
        <v>92</v>
      </c>
      <c r="AM10" s="6"/>
      <c r="AN10" s="6"/>
      <c r="AO10" s="6"/>
      <c r="AP10" s="3"/>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row>
    <row r="11" spans="1:80" ht="7.5" customHeight="1" x14ac:dyDescent="0.25">
      <c r="A11" s="7"/>
      <c r="B11" s="72"/>
      <c r="C11" s="7"/>
      <c r="D11" s="7"/>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53"/>
      <c r="AH11" s="4"/>
      <c r="AJ11" s="6"/>
      <c r="AK11" s="6"/>
      <c r="AL11" s="6"/>
      <c r="AM11" s="6"/>
      <c r="AN11" s="6"/>
      <c r="AO11" s="6"/>
      <c r="AP11" s="3"/>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row>
    <row r="12" spans="1:80" ht="25.5" customHeight="1" x14ac:dyDescent="0.2">
      <c r="A12" s="7"/>
      <c r="B12" s="94" t="s">
        <v>113</v>
      </c>
      <c r="C12" s="94"/>
      <c r="D12" s="95"/>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6"/>
      <c r="AJ12" s="6"/>
      <c r="AK12" s="66" t="s">
        <v>101</v>
      </c>
      <c r="AL12" s="70" t="s">
        <v>1</v>
      </c>
      <c r="AM12" s="6"/>
      <c r="AN12" s="6"/>
      <c r="AO12" s="6"/>
      <c r="AP12" s="3"/>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row>
    <row r="13" spans="1:80" ht="7.5" customHeight="1" x14ac:dyDescent="0.2">
      <c r="A13" s="7"/>
      <c r="B13" s="63"/>
      <c r="C13" s="7"/>
      <c r="D13" s="7"/>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6"/>
      <c r="AJ13" s="6"/>
      <c r="AK13" s="6"/>
      <c r="AL13" s="6"/>
      <c r="AM13" s="6"/>
      <c r="AN13" s="6"/>
      <c r="AO13" s="6"/>
      <c r="AP13" s="3"/>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row>
    <row r="14" spans="1:80" ht="18.75" customHeight="1" x14ac:dyDescent="0.2">
      <c r="A14" s="7"/>
      <c r="B14" s="91" t="s">
        <v>105</v>
      </c>
      <c r="C14" s="92"/>
      <c r="D14" s="93"/>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6"/>
      <c r="AJ14" s="6"/>
      <c r="AK14" s="6"/>
      <c r="AL14" s="6"/>
      <c r="AM14" s="6"/>
      <c r="AN14" s="6"/>
      <c r="AO14" s="6"/>
      <c r="AP14" s="3"/>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row>
    <row r="15" spans="1:80" ht="6.75" customHeight="1" x14ac:dyDescent="0.2">
      <c r="A15" s="7"/>
      <c r="B15" s="28"/>
      <c r="C15" s="7"/>
      <c r="D15" s="7"/>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6"/>
      <c r="AJ15" s="6"/>
      <c r="AK15" s="6"/>
      <c r="AL15" s="6"/>
      <c r="AM15" s="6"/>
      <c r="AN15" s="6"/>
      <c r="AO15" s="6"/>
      <c r="AP15" s="3"/>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row>
    <row r="16" spans="1:80" ht="15" customHeight="1" x14ac:dyDescent="0.2">
      <c r="A16" s="7"/>
      <c r="B16" s="91" t="s">
        <v>106</v>
      </c>
      <c r="C16" s="92"/>
      <c r="D16" s="93"/>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6"/>
      <c r="AJ16" s="6"/>
      <c r="AK16" s="6"/>
      <c r="AL16" s="6"/>
      <c r="AM16" s="6"/>
      <c r="AN16" s="6"/>
      <c r="AO16" s="6"/>
      <c r="AP16" s="3"/>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row>
    <row r="17" spans="1:80" ht="6.75" customHeight="1" x14ac:dyDescent="0.2">
      <c r="A17" s="7"/>
      <c r="B17" s="28"/>
      <c r="C17" s="7"/>
      <c r="D17" s="7"/>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6"/>
      <c r="AJ17" s="6"/>
      <c r="AK17" s="6"/>
      <c r="AL17" s="6"/>
      <c r="AM17" s="6"/>
      <c r="AN17" s="6"/>
      <c r="AO17" s="6"/>
      <c r="AP17" s="3"/>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row>
    <row r="18" spans="1:80" x14ac:dyDescent="0.2">
      <c r="A18" s="7"/>
      <c r="B18" s="91" t="s">
        <v>107</v>
      </c>
      <c r="C18" s="92"/>
      <c r="D18" s="93"/>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6"/>
      <c r="AJ18" s="6"/>
      <c r="AK18" s="6"/>
      <c r="AL18" s="6"/>
      <c r="AM18" s="6"/>
      <c r="AN18" s="6"/>
      <c r="AO18" s="6"/>
      <c r="AP18" s="3"/>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row>
    <row r="19" spans="1:80" x14ac:dyDescent="0.2">
      <c r="A19" s="7"/>
      <c r="B19" s="28"/>
      <c r="C19" s="7"/>
      <c r="D19" s="7"/>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6"/>
      <c r="AJ19" s="6"/>
      <c r="AK19" s="6"/>
      <c r="AL19" s="6"/>
      <c r="AM19" s="6"/>
      <c r="AN19" s="6"/>
      <c r="AO19" s="6"/>
      <c r="AP19" s="3"/>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row>
    <row r="20" spans="1:80" x14ac:dyDescent="0.2">
      <c r="A20" s="7"/>
      <c r="B20" s="7"/>
      <c r="C20" s="7"/>
      <c r="D20" s="7"/>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6"/>
      <c r="AJ20" s="6"/>
      <c r="AK20" s="6"/>
      <c r="AL20" s="6"/>
      <c r="AM20" s="6"/>
      <c r="AN20" s="6"/>
      <c r="AO20" s="6"/>
      <c r="AP20" s="3"/>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row>
    <row r="21" spans="1:80" x14ac:dyDescent="0.2">
      <c r="A21" s="7"/>
      <c r="B21" s="7"/>
      <c r="C21" s="7"/>
      <c r="D21" s="7"/>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6"/>
      <c r="AJ21" s="6"/>
      <c r="AK21" s="6"/>
      <c r="AL21" s="6"/>
      <c r="AM21" s="6"/>
      <c r="AN21" s="6"/>
      <c r="AO21" s="6"/>
      <c r="AP21" s="3"/>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row>
    <row r="22" spans="1:80" x14ac:dyDescent="0.2">
      <c r="A22" s="7"/>
      <c r="B22" s="7"/>
      <c r="C22" s="7"/>
      <c r="D22" s="7"/>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6"/>
      <c r="AJ22" s="6"/>
      <c r="AK22" s="6"/>
      <c r="AL22" s="6"/>
      <c r="AM22" s="6"/>
      <c r="AN22" s="6"/>
      <c r="AO22" s="6"/>
      <c r="AP22" s="3"/>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row>
    <row r="23" spans="1:80" x14ac:dyDescent="0.2">
      <c r="A23" s="7"/>
      <c r="B23" s="7"/>
      <c r="C23" s="7"/>
      <c r="D23" s="7"/>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6"/>
      <c r="AJ23" s="6"/>
      <c r="AK23" s="6"/>
      <c r="AL23" s="6"/>
      <c r="AM23" s="6"/>
      <c r="AN23" s="6"/>
      <c r="AO23" s="6"/>
      <c r="AP23" s="3"/>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row>
    <row r="24" spans="1:80" x14ac:dyDescent="0.2">
      <c r="A24" s="7"/>
      <c r="B24" s="7"/>
      <c r="C24" s="7"/>
      <c r="D24" s="7"/>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6"/>
      <c r="AJ24" s="6"/>
      <c r="AK24" s="6"/>
      <c r="AL24" s="6"/>
      <c r="AM24" s="6"/>
      <c r="AN24" s="6"/>
      <c r="AO24" s="6"/>
      <c r="AP24" s="3"/>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row>
    <row r="25" spans="1:80" x14ac:dyDescent="0.2">
      <c r="A25" s="7"/>
      <c r="B25" s="7"/>
      <c r="C25" s="7"/>
      <c r="D25" s="7"/>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6"/>
      <c r="AJ25" s="6"/>
      <c r="AK25" s="6"/>
      <c r="AL25" s="6"/>
      <c r="AM25" s="6"/>
      <c r="AN25" s="6"/>
      <c r="AO25" s="6"/>
      <c r="AP25" s="3"/>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row>
    <row r="26" spans="1:80" x14ac:dyDescent="0.2">
      <c r="A26" s="7"/>
      <c r="B26" s="7"/>
      <c r="C26" s="7"/>
      <c r="D26" s="7"/>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6"/>
      <c r="AJ26" s="6"/>
      <c r="AK26" s="6"/>
      <c r="AL26" s="6"/>
      <c r="AM26" s="6"/>
      <c r="AN26" s="6"/>
      <c r="AO26" s="6"/>
      <c r="AP26" s="3"/>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row>
    <row r="27" spans="1:80" x14ac:dyDescent="0.2">
      <c r="A27" s="7"/>
      <c r="B27" s="7"/>
      <c r="C27" s="7"/>
      <c r="D27" s="7"/>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6"/>
      <c r="AJ27" s="6"/>
      <c r="AK27" s="6"/>
      <c r="AL27" s="6"/>
      <c r="AM27" s="6"/>
      <c r="AN27" s="6"/>
      <c r="AO27" s="6"/>
      <c r="AP27" s="3"/>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row>
    <row r="28" spans="1:80" x14ac:dyDescent="0.2">
      <c r="A28" s="7"/>
      <c r="B28" s="7"/>
      <c r="C28" s="7"/>
      <c r="D28" s="7"/>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6"/>
      <c r="AJ28" s="6"/>
      <c r="AK28" s="6"/>
      <c r="AL28" s="6"/>
      <c r="AM28" s="6"/>
      <c r="AN28" s="6"/>
      <c r="AO28" s="6"/>
      <c r="AP28" s="3"/>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row>
    <row r="29" spans="1:80" x14ac:dyDescent="0.2">
      <c r="A29" s="7"/>
      <c r="B29" s="7"/>
      <c r="C29" s="7"/>
      <c r="D29" s="7"/>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6"/>
      <c r="AJ29" s="6"/>
      <c r="AK29" s="6"/>
      <c r="AL29" s="6"/>
      <c r="AM29" s="6"/>
      <c r="AN29" s="6"/>
      <c r="AO29" s="6"/>
      <c r="AP29" s="3"/>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row>
    <row r="30" spans="1:80" x14ac:dyDescent="0.2">
      <c r="A30" s="7"/>
      <c r="B30" s="7"/>
      <c r="C30" s="7"/>
      <c r="D30" s="7"/>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6"/>
      <c r="AJ30" s="6"/>
      <c r="AK30" s="6"/>
      <c r="AL30" s="6"/>
      <c r="AM30" s="6"/>
      <c r="AN30" s="6"/>
      <c r="AO30" s="6"/>
      <c r="AP30" s="3"/>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row>
    <row r="31" spans="1:80" x14ac:dyDescent="0.2">
      <c r="A31" s="7"/>
      <c r="B31" s="7"/>
      <c r="C31" s="7"/>
      <c r="D31" s="7"/>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6"/>
      <c r="AJ31" s="6"/>
      <c r="AK31" s="6"/>
      <c r="AL31" s="6"/>
      <c r="AM31" s="6"/>
      <c r="AN31" s="6"/>
      <c r="AO31" s="6"/>
      <c r="AP31" s="3"/>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row>
    <row r="32" spans="1:80" x14ac:dyDescent="0.2">
      <c r="A32" s="7"/>
      <c r="B32" s="7"/>
      <c r="C32" s="7"/>
      <c r="D32" s="7"/>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6"/>
      <c r="AJ32" s="6"/>
      <c r="AK32" s="6"/>
      <c r="AL32" s="6"/>
      <c r="AM32" s="6"/>
      <c r="AN32" s="6"/>
      <c r="AO32" s="6"/>
      <c r="AP32" s="3"/>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row>
    <row r="33" spans="1:80" x14ac:dyDescent="0.2">
      <c r="A33" s="7"/>
      <c r="B33" s="7"/>
      <c r="C33" s="7"/>
      <c r="D33" s="7"/>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6"/>
      <c r="AJ33" s="6"/>
      <c r="AK33" s="6"/>
      <c r="AL33" s="6"/>
      <c r="AM33" s="6"/>
      <c r="AN33" s="6"/>
      <c r="AO33" s="6"/>
      <c r="AP33" s="3"/>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row>
    <row r="34" spans="1:80" x14ac:dyDescent="0.2">
      <c r="A34" s="7"/>
      <c r="B34" s="7"/>
      <c r="C34" s="7"/>
      <c r="D34" s="7"/>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6"/>
      <c r="AJ34" s="6"/>
      <c r="AK34" s="6"/>
      <c r="AL34" s="6"/>
      <c r="AM34" s="6"/>
      <c r="AN34" s="6"/>
      <c r="AO34" s="6"/>
      <c r="AP34" s="3"/>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row>
    <row r="35" spans="1:80" x14ac:dyDescent="0.2">
      <c r="A35" s="7"/>
      <c r="B35" s="7"/>
      <c r="C35" s="7"/>
      <c r="D35" s="7"/>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6"/>
      <c r="AJ35" s="6"/>
      <c r="AK35" s="6"/>
      <c r="AL35" s="6"/>
      <c r="AM35" s="6"/>
      <c r="AN35" s="6"/>
      <c r="AO35" s="6"/>
      <c r="AP35" s="3"/>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row>
    <row r="36" spans="1:80" x14ac:dyDescent="0.2">
      <c r="A36" s="7"/>
      <c r="B36" s="7"/>
      <c r="C36" s="7"/>
      <c r="D36" s="7"/>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6"/>
      <c r="AJ36" s="6"/>
      <c r="AK36" s="6"/>
      <c r="AL36" s="6"/>
      <c r="AM36" s="6"/>
      <c r="AN36" s="6"/>
      <c r="AO36" s="6"/>
      <c r="AP36" s="3"/>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row>
    <row r="37" spans="1:80" x14ac:dyDescent="0.2">
      <c r="A37" s="7"/>
      <c r="B37" s="7"/>
      <c r="C37" s="7"/>
      <c r="D37" s="7"/>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6"/>
      <c r="AJ37" s="6"/>
      <c r="AK37" s="6"/>
      <c r="AL37" s="6"/>
      <c r="AM37" s="6"/>
      <c r="AN37" s="6"/>
      <c r="AO37" s="6"/>
      <c r="AP37" s="3"/>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row>
    <row r="38" spans="1:80" x14ac:dyDescent="0.2">
      <c r="A38" s="7"/>
      <c r="B38" s="7"/>
      <c r="C38" s="7"/>
      <c r="D38" s="7"/>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6"/>
      <c r="AJ38" s="6"/>
      <c r="AK38" s="6"/>
      <c r="AL38" s="6"/>
      <c r="AM38" s="6"/>
      <c r="AN38" s="6"/>
      <c r="AO38" s="6"/>
      <c r="AP38" s="3"/>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row>
    <row r="39" spans="1:80" x14ac:dyDescent="0.2">
      <c r="A39" s="7"/>
      <c r="B39" s="7"/>
      <c r="C39" s="7"/>
      <c r="D39" s="7"/>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6"/>
      <c r="AJ39" s="6"/>
      <c r="AK39" s="6"/>
      <c r="AL39" s="6"/>
      <c r="AM39" s="6"/>
      <c r="AN39" s="6"/>
      <c r="AO39" s="6"/>
      <c r="AP39" s="3"/>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row>
    <row r="40" spans="1:80" x14ac:dyDescent="0.2">
      <c r="A40" s="7"/>
      <c r="B40" s="7"/>
      <c r="C40" s="7"/>
      <c r="D40" s="7"/>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6"/>
      <c r="AJ40" s="6"/>
      <c r="AK40" s="6"/>
      <c r="AL40" s="6"/>
      <c r="AM40" s="6"/>
      <c r="AN40" s="6"/>
      <c r="AO40" s="6"/>
      <c r="AP40" s="3"/>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row>
    <row r="41" spans="1:80" x14ac:dyDescent="0.2">
      <c r="A41" s="7"/>
      <c r="B41" s="7"/>
      <c r="C41" s="7"/>
      <c r="D41" s="7"/>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6"/>
      <c r="AJ41" s="6"/>
      <c r="AK41" s="6"/>
      <c r="AL41" s="6"/>
      <c r="AM41" s="6"/>
      <c r="AN41" s="6"/>
      <c r="AO41" s="6"/>
      <c r="AP41" s="3"/>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row>
    <row r="42" spans="1:80" x14ac:dyDescent="0.2">
      <c r="A42" s="7"/>
      <c r="B42" s="7"/>
      <c r="C42" s="7"/>
      <c r="D42" s="7"/>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6"/>
      <c r="AJ42" s="6"/>
      <c r="AK42" s="6"/>
      <c r="AL42" s="6"/>
      <c r="AM42" s="6"/>
      <c r="AN42" s="6"/>
      <c r="AO42" s="6"/>
      <c r="AP42" s="3"/>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row>
    <row r="43" spans="1:80" x14ac:dyDescent="0.2">
      <c r="A43" s="7"/>
      <c r="B43" s="7"/>
      <c r="C43" s="7"/>
      <c r="D43" s="7"/>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6"/>
      <c r="AJ43" s="6"/>
      <c r="AK43" s="6"/>
      <c r="AL43" s="6"/>
      <c r="AM43" s="6"/>
      <c r="AN43" s="6"/>
      <c r="AO43" s="6"/>
      <c r="AP43" s="3"/>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row>
    <row r="44" spans="1:80" x14ac:dyDescent="0.2">
      <c r="A44" s="7"/>
      <c r="B44" s="7"/>
      <c r="C44" s="7"/>
      <c r="D44" s="7"/>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6"/>
      <c r="AJ44" s="6"/>
      <c r="AK44" s="6"/>
      <c r="AL44" s="6"/>
      <c r="AM44" s="6"/>
      <c r="AN44" s="6"/>
      <c r="AO44" s="6"/>
      <c r="AP44" s="3"/>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row>
    <row r="45" spans="1:80" x14ac:dyDescent="0.2">
      <c r="A45" s="7"/>
      <c r="B45" s="7"/>
      <c r="C45" s="7"/>
      <c r="D45" s="7"/>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6"/>
      <c r="AJ45" s="6"/>
      <c r="AK45" s="6"/>
      <c r="AL45" s="6"/>
      <c r="AM45" s="6"/>
      <c r="AN45" s="6"/>
      <c r="AO45" s="6"/>
      <c r="AP45" s="3"/>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row>
    <row r="46" spans="1:80" x14ac:dyDescent="0.2">
      <c r="A46" s="7"/>
      <c r="B46" s="7"/>
      <c r="C46" s="7"/>
      <c r="D46" s="7"/>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6"/>
      <c r="AJ46" s="6"/>
      <c r="AK46" s="6"/>
      <c r="AL46" s="6"/>
      <c r="AM46" s="6"/>
      <c r="AN46" s="6"/>
      <c r="AO46" s="6"/>
      <c r="AP46" s="3"/>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row>
    <row r="47" spans="1:80" x14ac:dyDescent="0.2">
      <c r="A47" s="7"/>
      <c r="B47" s="7"/>
      <c r="C47" s="7"/>
      <c r="D47" s="7"/>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6"/>
      <c r="AJ47" s="6"/>
      <c r="AK47" s="6"/>
      <c r="AL47" s="6"/>
      <c r="AM47" s="6"/>
      <c r="AN47" s="6"/>
      <c r="AO47" s="6"/>
      <c r="AP47" s="3"/>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row>
    <row r="48" spans="1:80" x14ac:dyDescent="0.2">
      <c r="A48" s="7"/>
      <c r="B48" s="7"/>
      <c r="C48" s="7"/>
      <c r="D48" s="7"/>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6"/>
      <c r="AJ48" s="6"/>
      <c r="AK48" s="6"/>
      <c r="AL48" s="6"/>
      <c r="AM48" s="6"/>
      <c r="AN48" s="6"/>
      <c r="AO48" s="6"/>
      <c r="AP48" s="3"/>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row>
    <row r="49" spans="1:80" x14ac:dyDescent="0.2">
      <c r="A49" s="7"/>
      <c r="B49" s="7"/>
      <c r="C49" s="7"/>
      <c r="D49" s="7"/>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6"/>
      <c r="AJ49" s="6"/>
      <c r="AK49" s="6"/>
      <c r="AL49" s="6"/>
      <c r="AM49" s="6"/>
      <c r="AN49" s="6"/>
      <c r="AO49" s="6"/>
      <c r="AP49" s="3"/>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row>
    <row r="50" spans="1:80" x14ac:dyDescent="0.2">
      <c r="A50" s="7"/>
      <c r="B50" s="7"/>
      <c r="C50" s="7"/>
      <c r="D50" s="7"/>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6"/>
      <c r="AJ50" s="6"/>
      <c r="AK50" s="6"/>
      <c r="AL50" s="6"/>
      <c r="AM50" s="6"/>
      <c r="AN50" s="6"/>
      <c r="AO50" s="6"/>
      <c r="AP50" s="3"/>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row>
    <row r="51" spans="1:80" x14ac:dyDescent="0.2">
      <c r="A51" s="7"/>
      <c r="B51" s="7"/>
      <c r="C51" s="7"/>
      <c r="D51" s="7"/>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6"/>
      <c r="AJ51" s="6"/>
      <c r="AK51" s="6"/>
      <c r="AL51" s="6"/>
      <c r="AM51" s="6"/>
      <c r="AN51" s="6"/>
      <c r="AO51" s="6"/>
      <c r="AP51" s="3"/>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row>
    <row r="52" spans="1:80" x14ac:dyDescent="0.2">
      <c r="A52" s="7"/>
      <c r="B52" s="7"/>
      <c r="C52" s="7"/>
      <c r="D52" s="7"/>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6"/>
      <c r="AJ52" s="6"/>
      <c r="AK52" s="6"/>
      <c r="AL52" s="6"/>
      <c r="AM52" s="6"/>
      <c r="AN52" s="6"/>
      <c r="AO52" s="6"/>
      <c r="AP52" s="3"/>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row>
    <row r="53" spans="1:80" x14ac:dyDescent="0.2">
      <c r="A53" s="7"/>
      <c r="B53" s="7"/>
      <c r="C53" s="7"/>
      <c r="D53" s="7"/>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6"/>
      <c r="AJ53" s="6"/>
      <c r="AK53" s="6"/>
      <c r="AL53" s="6"/>
      <c r="AM53" s="6"/>
      <c r="AN53" s="6"/>
      <c r="AO53" s="6"/>
      <c r="AP53" s="3"/>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row>
    <row r="54" spans="1:80" x14ac:dyDescent="0.2">
      <c r="A54" s="7"/>
      <c r="B54" s="7"/>
      <c r="C54" s="7"/>
      <c r="D54" s="7"/>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6"/>
      <c r="AJ54" s="6"/>
      <c r="AK54" s="6"/>
      <c r="AL54" s="6"/>
      <c r="AM54" s="6"/>
      <c r="AN54" s="6"/>
      <c r="AO54" s="6"/>
      <c r="AP54" s="3"/>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row>
    <row r="55" spans="1:80" x14ac:dyDescent="0.2">
      <c r="A55" s="7"/>
      <c r="B55" s="7"/>
      <c r="C55" s="7"/>
      <c r="D55" s="7"/>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6"/>
      <c r="AJ55" s="6"/>
      <c r="AK55" s="6"/>
      <c r="AL55" s="6"/>
      <c r="AM55" s="6"/>
      <c r="AN55" s="6"/>
      <c r="AO55" s="6"/>
      <c r="AP55" s="3"/>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row>
    <row r="56" spans="1:80" x14ac:dyDescent="0.2">
      <c r="A56" s="7"/>
      <c r="B56" s="7"/>
      <c r="C56" s="7"/>
      <c r="D56" s="7"/>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6"/>
      <c r="AJ56" s="6"/>
      <c r="AK56" s="6"/>
      <c r="AL56" s="6"/>
      <c r="AM56" s="6"/>
      <c r="AN56" s="6"/>
      <c r="AO56" s="6"/>
      <c r="AP56" s="3"/>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row>
    <row r="57" spans="1:80" x14ac:dyDescent="0.2">
      <c r="A57" s="7"/>
      <c r="B57" s="7"/>
      <c r="C57" s="7"/>
      <c r="D57" s="7"/>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6"/>
      <c r="AJ57" s="6"/>
      <c r="AK57" s="6"/>
      <c r="AL57" s="6"/>
      <c r="AM57" s="6"/>
      <c r="AN57" s="6"/>
      <c r="AO57" s="6"/>
      <c r="AP57" s="3"/>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row>
    <row r="58" spans="1:80" x14ac:dyDescent="0.2">
      <c r="A58" s="7"/>
      <c r="B58" s="7"/>
      <c r="C58" s="7"/>
      <c r="D58" s="7"/>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6"/>
      <c r="AJ58" s="6"/>
      <c r="AK58" s="6"/>
      <c r="AL58" s="6"/>
      <c r="AM58" s="6"/>
      <c r="AN58" s="6"/>
      <c r="AO58" s="6"/>
      <c r="AP58" s="3"/>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row>
    <row r="59" spans="1:80" x14ac:dyDescent="0.2">
      <c r="A59" s="7"/>
      <c r="B59" s="7"/>
      <c r="C59" s="7"/>
      <c r="D59" s="7"/>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6"/>
      <c r="AJ59" s="6"/>
      <c r="AK59" s="6"/>
      <c r="AL59" s="6"/>
      <c r="AM59" s="6"/>
      <c r="AN59" s="6"/>
      <c r="AO59" s="6"/>
      <c r="AP59" s="3"/>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row>
    <row r="60" spans="1:80" x14ac:dyDescent="0.2">
      <c r="A60" s="7"/>
      <c r="B60" s="7"/>
      <c r="C60" s="7"/>
      <c r="D60" s="7"/>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6"/>
      <c r="AJ60" s="6"/>
      <c r="AK60" s="6"/>
      <c r="AL60" s="6"/>
      <c r="AM60" s="6"/>
      <c r="AN60" s="6"/>
      <c r="AO60" s="6"/>
      <c r="AP60" s="3"/>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row>
    <row r="61" spans="1:80" x14ac:dyDescent="0.2">
      <c r="A61" s="7"/>
      <c r="B61" s="7"/>
      <c r="C61" s="7"/>
      <c r="D61" s="7"/>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6"/>
      <c r="AJ61" s="6"/>
      <c r="AK61" s="6"/>
      <c r="AL61" s="6"/>
      <c r="AM61" s="6"/>
      <c r="AN61" s="6"/>
      <c r="AO61" s="6"/>
      <c r="AP61" s="3"/>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row>
    <row r="62" spans="1:80" x14ac:dyDescent="0.2">
      <c r="A62" s="7"/>
      <c r="B62" s="7"/>
      <c r="C62" s="7"/>
      <c r="D62" s="7"/>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6"/>
      <c r="AJ62" s="6"/>
      <c r="AK62" s="6"/>
      <c r="AL62" s="6"/>
      <c r="AM62" s="6"/>
      <c r="AN62" s="6"/>
      <c r="AO62" s="6"/>
      <c r="AP62" s="3"/>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row>
    <row r="63" spans="1:80" x14ac:dyDescent="0.2">
      <c r="A63" s="7"/>
      <c r="B63" s="7"/>
      <c r="C63" s="7"/>
      <c r="D63" s="7"/>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6"/>
      <c r="AJ63" s="6"/>
      <c r="AK63" s="6"/>
      <c r="AL63" s="6"/>
      <c r="AM63" s="6"/>
      <c r="AN63" s="6"/>
      <c r="AO63" s="6"/>
      <c r="AP63" s="3"/>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row>
    <row r="64" spans="1:80" x14ac:dyDescent="0.2">
      <c r="A64" s="7"/>
      <c r="B64" s="7"/>
      <c r="C64" s="7"/>
      <c r="D64" s="7"/>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6"/>
      <c r="AJ64" s="6"/>
      <c r="AK64" s="6"/>
      <c r="AL64" s="6"/>
      <c r="AM64" s="6"/>
      <c r="AN64" s="6"/>
      <c r="AO64" s="6"/>
      <c r="AP64" s="3"/>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row>
    <row r="65" spans="1:80" x14ac:dyDescent="0.2">
      <c r="A65" s="7"/>
      <c r="B65" s="7"/>
      <c r="C65" s="7"/>
      <c r="D65" s="7"/>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6"/>
      <c r="AJ65" s="6"/>
      <c r="AK65" s="6"/>
      <c r="AL65" s="6"/>
      <c r="AM65" s="6"/>
      <c r="AN65" s="6"/>
      <c r="AO65" s="6"/>
      <c r="AP65" s="3"/>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row>
    <row r="66" spans="1:80" x14ac:dyDescent="0.2">
      <c r="A66" s="7"/>
      <c r="B66" s="7"/>
      <c r="C66" s="7"/>
      <c r="D66" s="7"/>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6"/>
      <c r="AJ66" s="6"/>
      <c r="AK66" s="6"/>
      <c r="AL66" s="6"/>
      <c r="AM66" s="6"/>
      <c r="AN66" s="6"/>
      <c r="AO66" s="6"/>
      <c r="AP66" s="3"/>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row>
    <row r="67" spans="1:80" x14ac:dyDescent="0.2">
      <c r="A67" s="7"/>
      <c r="B67" s="7"/>
      <c r="C67" s="7"/>
      <c r="D67" s="7"/>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6"/>
      <c r="AJ67" s="6"/>
      <c r="AK67" s="6"/>
      <c r="AL67" s="6"/>
      <c r="AM67" s="6"/>
      <c r="AN67" s="6"/>
      <c r="AO67" s="6"/>
      <c r="AP67" s="3"/>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row>
    <row r="68" spans="1:80" x14ac:dyDescent="0.2">
      <c r="A68" s="7"/>
      <c r="B68" s="7"/>
      <c r="C68" s="7"/>
      <c r="D68" s="7"/>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6"/>
      <c r="AJ68" s="6"/>
      <c r="AK68" s="6"/>
      <c r="AL68" s="6"/>
      <c r="AM68" s="6"/>
      <c r="AN68" s="6"/>
      <c r="AO68" s="6"/>
      <c r="AP68" s="3"/>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row>
    <row r="69" spans="1:80" x14ac:dyDescent="0.2">
      <c r="A69" s="7"/>
      <c r="B69" s="7"/>
      <c r="C69" s="7"/>
      <c r="D69" s="7"/>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6"/>
      <c r="AJ69" s="6"/>
      <c r="AK69" s="6"/>
      <c r="AL69" s="6"/>
      <c r="AM69" s="6"/>
      <c r="AN69" s="6"/>
      <c r="AO69" s="6"/>
      <c r="AP69" s="3"/>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row>
    <row r="70" spans="1:80" x14ac:dyDescent="0.2">
      <c r="A70" s="7"/>
      <c r="B70" s="7"/>
      <c r="C70" s="7"/>
      <c r="D70" s="7"/>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6"/>
      <c r="AJ70" s="6"/>
      <c r="AK70" s="6"/>
      <c r="AL70" s="6"/>
      <c r="AM70" s="6"/>
      <c r="AN70" s="6"/>
      <c r="AO70" s="6"/>
      <c r="AP70" s="3"/>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row>
    <row r="71" spans="1:80" x14ac:dyDescent="0.2">
      <c r="A71" s="7"/>
      <c r="B71" s="7"/>
      <c r="C71" s="7"/>
      <c r="D71" s="7"/>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6"/>
      <c r="AJ71" s="6"/>
      <c r="AK71" s="6"/>
      <c r="AL71" s="6"/>
      <c r="AM71" s="6"/>
      <c r="AN71" s="6"/>
      <c r="AO71" s="6"/>
      <c r="AP71" s="3"/>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row>
    <row r="72" spans="1:80" x14ac:dyDescent="0.2">
      <c r="A72" s="7"/>
      <c r="B72" s="7"/>
      <c r="C72" s="7"/>
      <c r="D72" s="7"/>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6"/>
      <c r="AJ72" s="6"/>
      <c r="AK72" s="6"/>
      <c r="AL72" s="6"/>
      <c r="AM72" s="6"/>
      <c r="AN72" s="6"/>
      <c r="AO72" s="6"/>
      <c r="AP72" s="3"/>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row>
    <row r="73" spans="1:80" x14ac:dyDescent="0.2">
      <c r="A73" s="7"/>
      <c r="B73" s="7"/>
      <c r="C73" s="7"/>
      <c r="D73" s="7"/>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6"/>
      <c r="AJ73" s="6"/>
      <c r="AK73" s="6"/>
      <c r="AL73" s="6"/>
      <c r="AM73" s="6"/>
      <c r="AN73" s="6"/>
      <c r="AO73" s="6"/>
      <c r="AP73" s="3"/>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row>
    <row r="74" spans="1:80" x14ac:dyDescent="0.2">
      <c r="A74" s="7"/>
      <c r="B74" s="7"/>
      <c r="C74" s="7"/>
      <c r="D74" s="7"/>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6"/>
      <c r="AJ74" s="6"/>
      <c r="AK74" s="6"/>
      <c r="AL74" s="6"/>
      <c r="AM74" s="6"/>
      <c r="AN74" s="6"/>
      <c r="AO74" s="6"/>
      <c r="AP74" s="3"/>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row>
    <row r="75" spans="1:80" x14ac:dyDescent="0.2">
      <c r="A75" s="7"/>
      <c r="B75" s="7"/>
      <c r="C75" s="7"/>
      <c r="D75" s="7"/>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6"/>
      <c r="AJ75" s="6"/>
      <c r="AK75" s="6"/>
      <c r="AL75" s="6"/>
      <c r="AM75" s="6"/>
      <c r="AN75" s="6"/>
      <c r="AO75" s="6"/>
      <c r="AP75" s="3"/>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row>
    <row r="76" spans="1:80" x14ac:dyDescent="0.2">
      <c r="A76" s="7"/>
      <c r="B76" s="7"/>
      <c r="C76" s="7"/>
      <c r="D76" s="7"/>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6"/>
      <c r="AJ76" s="6"/>
      <c r="AK76" s="6"/>
      <c r="AL76" s="6"/>
      <c r="AM76" s="6"/>
      <c r="AN76" s="6"/>
      <c r="AO76" s="6"/>
      <c r="AP76" s="3"/>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row>
    <row r="77" spans="1:80" x14ac:dyDescent="0.2">
      <c r="A77" s="7"/>
      <c r="B77" s="7"/>
      <c r="C77" s="7"/>
      <c r="D77" s="7"/>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6"/>
      <c r="AJ77" s="6"/>
      <c r="AK77" s="6"/>
      <c r="AL77" s="6"/>
      <c r="AM77" s="6"/>
      <c r="AN77" s="6"/>
      <c r="AO77" s="6"/>
      <c r="AP77" s="3"/>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row>
    <row r="78" spans="1:80" x14ac:dyDescent="0.2">
      <c r="A78" s="7"/>
      <c r="B78" s="7"/>
      <c r="C78" s="7"/>
      <c r="D78" s="7"/>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6"/>
      <c r="AJ78" s="6"/>
      <c r="AK78" s="6"/>
      <c r="AL78" s="6"/>
      <c r="AM78" s="6"/>
      <c r="AN78" s="6"/>
      <c r="AO78" s="6"/>
      <c r="AP78" s="3"/>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row>
    <row r="79" spans="1:80" x14ac:dyDescent="0.2">
      <c r="A79" s="7"/>
      <c r="B79" s="7"/>
      <c r="C79" s="7"/>
      <c r="D79" s="7"/>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6"/>
      <c r="AJ79" s="6"/>
      <c r="AK79" s="6"/>
      <c r="AL79" s="6"/>
      <c r="AM79" s="6"/>
      <c r="AN79" s="6"/>
      <c r="AO79" s="6"/>
      <c r="AP79" s="3"/>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row>
    <row r="80" spans="1:80" x14ac:dyDescent="0.2">
      <c r="A80" s="7"/>
      <c r="B80" s="7"/>
      <c r="C80" s="7"/>
      <c r="D80" s="7"/>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6"/>
      <c r="AJ80" s="6"/>
      <c r="AK80" s="6"/>
      <c r="AL80" s="6"/>
      <c r="AM80" s="6"/>
      <c r="AN80" s="6"/>
      <c r="AO80" s="6"/>
      <c r="AP80" s="3"/>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row>
    <row r="81" spans="1:80" x14ac:dyDescent="0.2">
      <c r="A81" s="7"/>
      <c r="B81" s="7"/>
      <c r="C81" s="7"/>
      <c r="D81" s="7"/>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6"/>
      <c r="AJ81" s="6"/>
      <c r="AK81" s="6"/>
      <c r="AL81" s="6"/>
      <c r="AM81" s="6"/>
      <c r="AN81" s="6"/>
      <c r="AO81" s="6"/>
      <c r="AP81" s="3"/>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row>
    <row r="82" spans="1:80" x14ac:dyDescent="0.2">
      <c r="A82" s="7"/>
      <c r="B82" s="7"/>
      <c r="C82" s="7"/>
      <c r="D82" s="7"/>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6"/>
      <c r="AJ82" s="6"/>
      <c r="AK82" s="6"/>
      <c r="AL82" s="6"/>
      <c r="AM82" s="6"/>
      <c r="AN82" s="6"/>
      <c r="AO82" s="6"/>
      <c r="AP82" s="3"/>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row>
    <row r="83" spans="1:80" x14ac:dyDescent="0.2">
      <c r="A83" s="7"/>
      <c r="B83" s="7"/>
      <c r="C83" s="7"/>
      <c r="D83" s="7"/>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6"/>
      <c r="AJ83" s="6"/>
      <c r="AK83" s="6"/>
      <c r="AL83" s="6"/>
      <c r="AM83" s="6"/>
      <c r="AN83" s="6"/>
      <c r="AO83" s="6"/>
      <c r="AP83" s="3"/>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row>
    <row r="84" spans="1:80" x14ac:dyDescent="0.2">
      <c r="A84" s="7"/>
      <c r="B84" s="7"/>
      <c r="C84" s="7"/>
      <c r="D84" s="7"/>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6"/>
      <c r="AJ84" s="6"/>
      <c r="AK84" s="6"/>
      <c r="AL84" s="6"/>
      <c r="AM84" s="6"/>
      <c r="AN84" s="6"/>
      <c r="AO84" s="6"/>
      <c r="AP84" s="3"/>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row>
    <row r="85" spans="1:80" x14ac:dyDescent="0.2">
      <c r="A85" s="7"/>
      <c r="B85" s="7"/>
      <c r="C85" s="7"/>
      <c r="D85" s="7"/>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6"/>
      <c r="AJ85" s="6"/>
      <c r="AK85" s="6"/>
      <c r="AL85" s="6"/>
      <c r="AM85" s="6"/>
      <c r="AN85" s="6"/>
      <c r="AO85" s="6"/>
      <c r="AP85" s="3"/>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row>
    <row r="86" spans="1:80" x14ac:dyDescent="0.2">
      <c r="A86" s="7"/>
      <c r="B86" s="7"/>
      <c r="C86" s="7"/>
      <c r="D86" s="7"/>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6"/>
      <c r="AJ86" s="6"/>
      <c r="AK86" s="6"/>
      <c r="AL86" s="6"/>
      <c r="AM86" s="6"/>
      <c r="AN86" s="6"/>
      <c r="AO86" s="6"/>
      <c r="AP86" s="3"/>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row>
    <row r="87" spans="1:80" x14ac:dyDescent="0.2">
      <c r="A87" s="7"/>
      <c r="B87" s="7"/>
      <c r="C87" s="7"/>
      <c r="D87" s="7"/>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6"/>
      <c r="AJ87" s="6"/>
      <c r="AK87" s="6"/>
      <c r="AL87" s="6"/>
      <c r="AM87" s="6"/>
      <c r="AN87" s="6"/>
      <c r="AO87" s="6"/>
      <c r="AP87" s="3"/>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row>
    <row r="88" spans="1:80" x14ac:dyDescent="0.2">
      <c r="A88" s="7"/>
      <c r="B88" s="7"/>
      <c r="C88" s="7"/>
      <c r="D88" s="7"/>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6"/>
      <c r="AJ88" s="6"/>
      <c r="AK88" s="6"/>
      <c r="AL88" s="6"/>
      <c r="AM88" s="6"/>
      <c r="AN88" s="6"/>
      <c r="AO88" s="6"/>
      <c r="AP88" s="3"/>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row>
    <row r="89" spans="1:80" x14ac:dyDescent="0.2">
      <c r="A89" s="7"/>
      <c r="B89" s="7"/>
      <c r="C89" s="7"/>
      <c r="D89" s="7"/>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6"/>
      <c r="AJ89" s="6"/>
      <c r="AK89" s="6"/>
      <c r="AL89" s="6"/>
      <c r="AM89" s="6"/>
      <c r="AN89" s="6"/>
      <c r="AO89" s="6"/>
      <c r="AP89" s="3"/>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row>
    <row r="90" spans="1:80" x14ac:dyDescent="0.2">
      <c r="A90" s="7"/>
      <c r="B90" s="7"/>
      <c r="C90" s="7"/>
      <c r="D90" s="7"/>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6"/>
      <c r="AJ90" s="6"/>
      <c r="AK90" s="6"/>
      <c r="AL90" s="6"/>
      <c r="AM90" s="6"/>
      <c r="AN90" s="6"/>
      <c r="AO90" s="6"/>
      <c r="AP90" s="3"/>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row>
    <row r="91" spans="1:80" x14ac:dyDescent="0.2">
      <c r="A91" s="7"/>
      <c r="B91" s="7"/>
      <c r="C91" s="7"/>
      <c r="D91" s="7"/>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6"/>
      <c r="AJ91" s="6"/>
      <c r="AK91" s="6"/>
      <c r="AL91" s="6"/>
      <c r="AM91" s="6"/>
      <c r="AN91" s="6"/>
      <c r="AO91" s="6"/>
      <c r="AP91" s="3"/>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row>
    <row r="92" spans="1:80" x14ac:dyDescent="0.2">
      <c r="A92" s="7"/>
      <c r="B92" s="7"/>
      <c r="C92" s="7"/>
      <c r="D92" s="7"/>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6"/>
      <c r="AJ92" s="6"/>
      <c r="AK92" s="6"/>
      <c r="AL92" s="6"/>
      <c r="AM92" s="6"/>
      <c r="AN92" s="6"/>
      <c r="AO92" s="6"/>
      <c r="AP92" s="3"/>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row>
    <row r="93" spans="1:80" x14ac:dyDescent="0.2">
      <c r="A93" s="7"/>
      <c r="B93" s="7"/>
      <c r="C93" s="7"/>
      <c r="D93" s="7"/>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6"/>
      <c r="AJ93" s="6"/>
      <c r="AK93" s="6"/>
      <c r="AL93" s="6"/>
      <c r="AM93" s="6"/>
      <c r="AN93" s="6"/>
      <c r="AO93" s="6"/>
      <c r="AP93" s="3"/>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row>
    <row r="94" spans="1:80" x14ac:dyDescent="0.2">
      <c r="A94" s="7"/>
      <c r="B94" s="7"/>
      <c r="C94" s="7"/>
      <c r="D94" s="7"/>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6"/>
      <c r="AJ94" s="6"/>
      <c r="AK94" s="6"/>
      <c r="AL94" s="6"/>
      <c r="AM94" s="6"/>
      <c r="AN94" s="6"/>
      <c r="AO94" s="6"/>
      <c r="AP94" s="3"/>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row>
    <row r="95" spans="1:80" x14ac:dyDescent="0.2">
      <c r="A95" s="7"/>
      <c r="B95" s="7"/>
      <c r="C95" s="7"/>
      <c r="D95" s="7"/>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6"/>
      <c r="AJ95" s="6"/>
      <c r="AK95" s="6"/>
      <c r="AL95" s="6"/>
      <c r="AM95" s="6"/>
      <c r="AN95" s="6"/>
      <c r="AO95" s="6"/>
      <c r="AP95" s="3"/>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row>
    <row r="96" spans="1:80" x14ac:dyDescent="0.2">
      <c r="A96" s="7"/>
      <c r="B96" s="7"/>
      <c r="C96" s="7"/>
      <c r="D96" s="7"/>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6"/>
      <c r="AJ96" s="6"/>
      <c r="AK96" s="6"/>
      <c r="AL96" s="6"/>
      <c r="AM96" s="6"/>
      <c r="AN96" s="6"/>
      <c r="AO96" s="6"/>
      <c r="AP96" s="3"/>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row>
    <row r="97" spans="1:80" x14ac:dyDescent="0.2">
      <c r="A97" s="7"/>
      <c r="B97" s="7"/>
      <c r="C97" s="7"/>
      <c r="D97" s="7"/>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6"/>
      <c r="AJ97" s="6"/>
      <c r="AK97" s="6"/>
      <c r="AL97" s="6"/>
      <c r="AM97" s="6"/>
      <c r="AN97" s="6"/>
      <c r="AO97" s="6"/>
      <c r="AP97" s="3"/>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row>
    <row r="98" spans="1:80" x14ac:dyDescent="0.2">
      <c r="A98" s="7"/>
      <c r="B98" s="7"/>
      <c r="C98" s="7"/>
      <c r="D98" s="7"/>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6"/>
      <c r="AJ98" s="6"/>
      <c r="AK98" s="6"/>
      <c r="AL98" s="6"/>
      <c r="AM98" s="6"/>
      <c r="AN98" s="6"/>
      <c r="AO98" s="6"/>
      <c r="AP98" s="3"/>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row>
    <row r="99" spans="1:80" x14ac:dyDescent="0.2">
      <c r="A99" s="7"/>
      <c r="B99" s="7"/>
      <c r="C99" s="7"/>
      <c r="D99" s="7"/>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6"/>
      <c r="AJ99" s="6"/>
      <c r="AK99" s="6"/>
      <c r="AL99" s="6"/>
      <c r="AM99" s="6"/>
      <c r="AN99" s="6"/>
      <c r="AO99" s="6"/>
      <c r="AP99" s="3"/>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row>
    <row r="100" spans="1:80" x14ac:dyDescent="0.2">
      <c r="A100" s="7"/>
      <c r="B100" s="7"/>
      <c r="C100" s="7"/>
      <c r="D100" s="7"/>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6"/>
      <c r="AJ100" s="6"/>
      <c r="AK100" s="6"/>
      <c r="AL100" s="6"/>
      <c r="AM100" s="6"/>
      <c r="AN100" s="6"/>
      <c r="AO100" s="6"/>
      <c r="AP100" s="3"/>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row>
    <row r="101" spans="1:80" x14ac:dyDescent="0.2">
      <c r="A101" s="7"/>
      <c r="B101" s="7"/>
      <c r="C101" s="7"/>
      <c r="D101" s="7"/>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6"/>
      <c r="AJ101" s="6"/>
      <c r="AK101" s="6"/>
      <c r="AL101" s="6"/>
      <c r="AM101" s="6"/>
      <c r="AN101" s="6"/>
      <c r="AO101" s="6"/>
      <c r="AP101" s="3"/>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row>
    <row r="102" spans="1:80" x14ac:dyDescent="0.2">
      <c r="A102" s="7"/>
      <c r="B102" s="7"/>
      <c r="C102" s="7"/>
      <c r="D102" s="7"/>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6"/>
      <c r="AJ102" s="6"/>
      <c r="AK102" s="6"/>
      <c r="AL102" s="6"/>
      <c r="AM102" s="6"/>
      <c r="AN102" s="6"/>
      <c r="AO102" s="6"/>
      <c r="AP102" s="3"/>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row>
    <row r="103" spans="1:80" x14ac:dyDescent="0.2">
      <c r="A103" s="7"/>
      <c r="B103" s="7"/>
      <c r="C103" s="7"/>
      <c r="D103" s="7"/>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6"/>
      <c r="AJ103" s="6"/>
      <c r="AK103" s="6"/>
      <c r="AL103" s="6"/>
      <c r="AM103" s="6"/>
      <c r="AN103" s="6"/>
      <c r="AO103" s="6"/>
      <c r="AP103" s="3"/>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row>
    <row r="104" spans="1:80" x14ac:dyDescent="0.2">
      <c r="A104" s="7"/>
      <c r="B104" s="7"/>
      <c r="C104" s="7"/>
      <c r="D104" s="7"/>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6"/>
      <c r="AJ104" s="6"/>
      <c r="AK104" s="6"/>
      <c r="AL104" s="6"/>
      <c r="AM104" s="6"/>
      <c r="AN104" s="6"/>
      <c r="AO104" s="6"/>
      <c r="AP104" s="3"/>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row>
    <row r="105" spans="1:80" x14ac:dyDescent="0.2">
      <c r="A105" s="7"/>
      <c r="B105" s="7"/>
      <c r="C105" s="7"/>
      <c r="D105" s="7"/>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6"/>
      <c r="AJ105" s="6"/>
      <c r="AK105" s="6"/>
      <c r="AL105" s="6"/>
      <c r="AM105" s="6"/>
      <c r="AN105" s="6"/>
      <c r="AO105" s="6"/>
      <c r="AP105" s="3"/>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row>
    <row r="106" spans="1:80" x14ac:dyDescent="0.2">
      <c r="A106" s="7"/>
      <c r="B106" s="7"/>
      <c r="C106" s="7"/>
      <c r="D106" s="7"/>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6"/>
      <c r="AJ106" s="6"/>
      <c r="AK106" s="6"/>
      <c r="AL106" s="6"/>
      <c r="AM106" s="6"/>
      <c r="AN106" s="6"/>
      <c r="AO106" s="6"/>
      <c r="AP106" s="3"/>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row>
    <row r="107" spans="1:80" x14ac:dyDescent="0.2">
      <c r="A107" s="7"/>
      <c r="B107" s="7"/>
      <c r="C107" s="7"/>
      <c r="D107" s="7"/>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6"/>
      <c r="AJ107" s="6"/>
      <c r="AK107" s="6"/>
      <c r="AL107" s="6"/>
      <c r="AM107" s="6"/>
      <c r="AN107" s="6"/>
      <c r="AO107" s="6"/>
      <c r="AP107" s="3"/>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row>
    <row r="108" spans="1:80" x14ac:dyDescent="0.2">
      <c r="A108" s="7"/>
      <c r="B108" s="7"/>
      <c r="C108" s="7"/>
      <c r="D108" s="7"/>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6"/>
      <c r="AJ108" s="6"/>
      <c r="AK108" s="6"/>
      <c r="AL108" s="6"/>
      <c r="AM108" s="6"/>
      <c r="AN108" s="6"/>
      <c r="AO108" s="6"/>
      <c r="AP108" s="3"/>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row>
    <row r="109" spans="1:80" x14ac:dyDescent="0.2">
      <c r="A109" s="7"/>
      <c r="B109" s="7"/>
      <c r="C109" s="7"/>
      <c r="D109" s="7"/>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6"/>
      <c r="AJ109" s="6"/>
      <c r="AK109" s="6"/>
      <c r="AL109" s="6"/>
      <c r="AM109" s="6"/>
      <c r="AN109" s="6"/>
      <c r="AO109" s="6"/>
      <c r="AP109" s="3"/>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row>
    <row r="110" spans="1:80" x14ac:dyDescent="0.2">
      <c r="A110" s="7"/>
      <c r="B110" s="7"/>
      <c r="C110" s="7"/>
      <c r="D110" s="7"/>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6"/>
      <c r="AJ110" s="6"/>
      <c r="AK110" s="6"/>
      <c r="AL110" s="6"/>
      <c r="AM110" s="6"/>
      <c r="AN110" s="6"/>
      <c r="AO110" s="6"/>
      <c r="AP110" s="3"/>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row>
    <row r="111" spans="1:80" x14ac:dyDescent="0.2">
      <c r="A111" s="7"/>
      <c r="B111" s="7"/>
      <c r="C111" s="7"/>
      <c r="D111" s="7"/>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6"/>
      <c r="AJ111" s="6"/>
      <c r="AK111" s="6"/>
      <c r="AL111" s="6"/>
      <c r="AM111" s="6"/>
      <c r="AN111" s="6"/>
      <c r="AO111" s="6"/>
      <c r="AP111" s="3"/>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row>
    <row r="112" spans="1:80" x14ac:dyDescent="0.2">
      <c r="A112" s="7"/>
      <c r="B112" s="7"/>
      <c r="C112" s="7"/>
      <c r="D112" s="7"/>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6"/>
      <c r="AJ112" s="6"/>
      <c r="AK112" s="6"/>
      <c r="AL112" s="6"/>
      <c r="AM112" s="6"/>
      <c r="AN112" s="6"/>
      <c r="AO112" s="6"/>
      <c r="AP112" s="3"/>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row>
    <row r="113" spans="1:80" x14ac:dyDescent="0.2">
      <c r="A113" s="7"/>
      <c r="B113" s="7"/>
      <c r="C113" s="7"/>
      <c r="D113" s="7"/>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6"/>
      <c r="AJ113" s="6"/>
      <c r="AK113" s="6"/>
      <c r="AL113" s="6"/>
      <c r="AM113" s="6"/>
      <c r="AN113" s="6"/>
      <c r="AO113" s="6"/>
      <c r="AP113" s="3"/>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row>
    <row r="114" spans="1:80" x14ac:dyDescent="0.2">
      <c r="A114" s="7"/>
      <c r="B114" s="7"/>
      <c r="C114" s="7"/>
      <c r="D114" s="7"/>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6"/>
      <c r="AJ114" s="6"/>
      <c r="AK114" s="6"/>
      <c r="AL114" s="6"/>
      <c r="AM114" s="6"/>
      <c r="AN114" s="6"/>
      <c r="AO114" s="6"/>
      <c r="AP114" s="3"/>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row>
    <row r="115" spans="1:80" x14ac:dyDescent="0.2">
      <c r="A115" s="7"/>
      <c r="B115" s="7"/>
      <c r="C115" s="7"/>
      <c r="D115" s="7"/>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6"/>
      <c r="AJ115" s="6"/>
      <c r="AK115" s="6"/>
      <c r="AL115" s="6"/>
      <c r="AM115" s="6"/>
      <c r="AN115" s="6"/>
      <c r="AO115" s="6"/>
      <c r="AP115" s="3"/>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row>
    <row r="116" spans="1:80" x14ac:dyDescent="0.2">
      <c r="A116" s="7"/>
      <c r="B116" s="7"/>
      <c r="C116" s="7"/>
      <c r="D116" s="7"/>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6"/>
      <c r="AJ116" s="6"/>
      <c r="AK116" s="6"/>
      <c r="AL116" s="6"/>
      <c r="AM116" s="6"/>
      <c r="AN116" s="6"/>
      <c r="AO116" s="6"/>
      <c r="AP116" s="3"/>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row>
    <row r="117" spans="1:80" x14ac:dyDescent="0.2">
      <c r="A117" s="7"/>
      <c r="B117" s="7"/>
      <c r="C117" s="7"/>
      <c r="D117" s="7"/>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6"/>
      <c r="AJ117" s="6"/>
      <c r="AK117" s="6"/>
      <c r="AL117" s="6"/>
      <c r="AM117" s="6"/>
      <c r="AN117" s="6"/>
      <c r="AO117" s="6"/>
      <c r="AP117" s="3"/>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row>
    <row r="118" spans="1:80" x14ac:dyDescent="0.2">
      <c r="A118" s="7"/>
      <c r="B118" s="7"/>
      <c r="C118" s="7"/>
      <c r="D118" s="7"/>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6"/>
      <c r="AJ118" s="6"/>
      <c r="AK118" s="6"/>
      <c r="AL118" s="6"/>
      <c r="AM118" s="6"/>
      <c r="AN118" s="6"/>
      <c r="AO118" s="6"/>
      <c r="AP118" s="3"/>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row>
    <row r="119" spans="1:80" x14ac:dyDescent="0.2">
      <c r="A119" s="7"/>
      <c r="B119" s="7"/>
      <c r="C119" s="7"/>
      <c r="D119" s="7"/>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6"/>
      <c r="AJ119" s="6"/>
      <c r="AK119" s="6"/>
      <c r="AL119" s="6"/>
      <c r="AM119" s="6"/>
      <c r="AN119" s="6"/>
      <c r="AO119" s="6"/>
      <c r="AP119" s="3"/>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row>
    <row r="120" spans="1:80" x14ac:dyDescent="0.2">
      <c r="A120" s="7"/>
      <c r="B120" s="7"/>
      <c r="C120" s="7"/>
      <c r="D120" s="7"/>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6"/>
      <c r="AJ120" s="6"/>
      <c r="AK120" s="6"/>
      <c r="AL120" s="6"/>
      <c r="AM120" s="6"/>
      <c r="AN120" s="6"/>
      <c r="AO120" s="6"/>
      <c r="AP120" s="3"/>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row>
    <row r="121" spans="1:80" x14ac:dyDescent="0.2">
      <c r="A121" s="7"/>
      <c r="B121" s="7"/>
      <c r="C121" s="7"/>
      <c r="D121" s="7"/>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6"/>
      <c r="AJ121" s="6"/>
      <c r="AK121" s="6"/>
      <c r="AL121" s="6"/>
      <c r="AM121" s="6"/>
      <c r="AN121" s="6"/>
      <c r="AO121" s="6"/>
      <c r="AP121" s="3"/>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row>
    <row r="122" spans="1:80" x14ac:dyDescent="0.2">
      <c r="A122" s="7"/>
      <c r="B122" s="7"/>
      <c r="C122" s="7"/>
      <c r="D122" s="7"/>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6"/>
      <c r="AJ122" s="6"/>
      <c r="AK122" s="6"/>
      <c r="AL122" s="6"/>
      <c r="AM122" s="6"/>
      <c r="AN122" s="6"/>
      <c r="AO122" s="6"/>
      <c r="AP122" s="3"/>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row>
    <row r="123" spans="1:80" x14ac:dyDescent="0.2">
      <c r="A123" s="7"/>
      <c r="B123" s="7"/>
      <c r="C123" s="7"/>
      <c r="D123" s="7"/>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6"/>
      <c r="AJ123" s="6"/>
      <c r="AK123" s="6"/>
      <c r="AL123" s="6"/>
      <c r="AM123" s="6"/>
      <c r="AN123" s="6"/>
      <c r="AO123" s="6"/>
      <c r="AP123" s="3"/>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row>
    <row r="124" spans="1:80" x14ac:dyDescent="0.2">
      <c r="A124" s="7"/>
      <c r="B124" s="7"/>
      <c r="C124" s="7"/>
      <c r="D124" s="7"/>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6"/>
      <c r="AJ124" s="6"/>
      <c r="AK124" s="6"/>
      <c r="AL124" s="6"/>
      <c r="AM124" s="6"/>
      <c r="AN124" s="6"/>
      <c r="AO124" s="6"/>
      <c r="AP124" s="3"/>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row>
    <row r="125" spans="1:80" x14ac:dyDescent="0.2">
      <c r="A125" s="7"/>
      <c r="B125" s="7"/>
      <c r="C125" s="7"/>
      <c r="D125" s="7"/>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6"/>
      <c r="AJ125" s="6"/>
      <c r="AK125" s="6"/>
      <c r="AL125" s="6"/>
      <c r="AM125" s="6"/>
      <c r="AN125" s="6"/>
      <c r="AO125" s="6"/>
      <c r="AP125" s="3"/>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row>
    <row r="126" spans="1:80" x14ac:dyDescent="0.2">
      <c r="A126" s="7"/>
      <c r="B126" s="7"/>
      <c r="C126" s="7"/>
      <c r="D126" s="7"/>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6"/>
      <c r="AJ126" s="6"/>
      <c r="AK126" s="6"/>
      <c r="AL126" s="6"/>
      <c r="AM126" s="6"/>
      <c r="AN126" s="6"/>
      <c r="AO126" s="6"/>
      <c r="AP126" s="3"/>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row>
    <row r="127" spans="1:80" x14ac:dyDescent="0.2">
      <c r="A127" s="7"/>
      <c r="B127" s="7"/>
      <c r="C127" s="7"/>
      <c r="D127" s="7"/>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6"/>
      <c r="AJ127" s="6"/>
      <c r="AK127" s="6"/>
      <c r="AL127" s="6"/>
      <c r="AM127" s="6"/>
      <c r="AN127" s="6"/>
      <c r="AO127" s="6"/>
      <c r="AP127" s="3"/>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row>
    <row r="128" spans="1:80" x14ac:dyDescent="0.2">
      <c r="A128" s="7"/>
      <c r="B128" s="7"/>
      <c r="C128" s="7"/>
      <c r="D128" s="7"/>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6"/>
      <c r="AJ128" s="6"/>
      <c r="AK128" s="6"/>
      <c r="AL128" s="6"/>
      <c r="AM128" s="6"/>
      <c r="AN128" s="6"/>
      <c r="AO128" s="6"/>
      <c r="AP128" s="3"/>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row>
    <row r="129" spans="1:80" x14ac:dyDescent="0.2">
      <c r="A129" s="7"/>
      <c r="B129" s="7"/>
      <c r="C129" s="7"/>
      <c r="D129" s="7"/>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6"/>
      <c r="AJ129" s="6"/>
      <c r="AK129" s="6"/>
      <c r="AL129" s="6"/>
      <c r="AM129" s="6"/>
      <c r="AN129" s="6"/>
      <c r="AO129" s="6"/>
      <c r="AP129" s="3"/>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row>
    <row r="130" spans="1:80" x14ac:dyDescent="0.2">
      <c r="A130" s="7"/>
      <c r="B130" s="7"/>
      <c r="C130" s="7"/>
      <c r="D130" s="7"/>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6"/>
      <c r="AJ130" s="6"/>
      <c r="AK130" s="6"/>
      <c r="AL130" s="6"/>
      <c r="AM130" s="6"/>
      <c r="AN130" s="6"/>
      <c r="AO130" s="6"/>
      <c r="AP130" s="3"/>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row>
    <row r="131" spans="1:80" x14ac:dyDescent="0.2">
      <c r="A131" s="7"/>
      <c r="B131" s="7"/>
      <c r="C131" s="7"/>
      <c r="D131" s="7"/>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6"/>
      <c r="AJ131" s="6"/>
      <c r="AK131" s="6"/>
      <c r="AL131" s="6"/>
      <c r="AM131" s="6"/>
      <c r="AN131" s="6"/>
      <c r="AO131" s="6"/>
      <c r="AP131" s="3"/>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row>
    <row r="132" spans="1:80" x14ac:dyDescent="0.2">
      <c r="A132" s="7"/>
      <c r="B132" s="7"/>
      <c r="C132" s="7"/>
      <c r="D132" s="7"/>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6"/>
      <c r="AJ132" s="6"/>
      <c r="AK132" s="6"/>
      <c r="AL132" s="6"/>
      <c r="AM132" s="6"/>
      <c r="AN132" s="6"/>
      <c r="AO132" s="6"/>
      <c r="AP132" s="3"/>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row>
    <row r="133" spans="1:80" x14ac:dyDescent="0.2">
      <c r="A133" s="7"/>
      <c r="B133" s="7"/>
      <c r="C133" s="7"/>
      <c r="D133" s="7"/>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6"/>
      <c r="AJ133" s="6"/>
      <c r="AK133" s="6"/>
      <c r="AL133" s="6"/>
      <c r="AM133" s="6"/>
      <c r="AN133" s="6"/>
      <c r="AO133" s="6"/>
      <c r="AP133" s="3"/>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row>
    <row r="134" spans="1:80" x14ac:dyDescent="0.2">
      <c r="A134" s="7"/>
      <c r="B134" s="7"/>
      <c r="C134" s="7"/>
      <c r="D134" s="7"/>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6"/>
      <c r="AJ134" s="6"/>
      <c r="AK134" s="6"/>
      <c r="AL134" s="6"/>
      <c r="AM134" s="6"/>
      <c r="AN134" s="6"/>
      <c r="AO134" s="6"/>
      <c r="AP134" s="3"/>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row>
    <row r="135" spans="1:80" x14ac:dyDescent="0.2">
      <c r="A135" s="7"/>
      <c r="B135" s="7"/>
      <c r="C135" s="7"/>
      <c r="D135" s="7"/>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6"/>
      <c r="AJ135" s="6"/>
      <c r="AK135" s="6"/>
      <c r="AL135" s="6"/>
      <c r="AM135" s="6"/>
      <c r="AN135" s="6"/>
      <c r="AO135" s="6"/>
      <c r="AP135" s="3"/>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row>
    <row r="136" spans="1:80" x14ac:dyDescent="0.2">
      <c r="A136" s="7"/>
      <c r="B136" s="7"/>
      <c r="C136" s="7"/>
      <c r="D136" s="7"/>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6"/>
      <c r="AJ136" s="6"/>
      <c r="AK136" s="6"/>
      <c r="AL136" s="6"/>
      <c r="AM136" s="6"/>
      <c r="AN136" s="6"/>
      <c r="AO136" s="6"/>
      <c r="AP136" s="3"/>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row>
    <row r="137" spans="1:80" x14ac:dyDescent="0.2">
      <c r="A137" s="7"/>
      <c r="B137" s="7"/>
      <c r="C137" s="7"/>
      <c r="D137" s="7"/>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6"/>
      <c r="AJ137" s="6"/>
      <c r="AK137" s="6"/>
      <c r="AL137" s="6"/>
      <c r="AM137" s="6"/>
      <c r="AN137" s="6"/>
      <c r="AO137" s="6"/>
      <c r="AP137" s="3"/>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row>
    <row r="138" spans="1:80" x14ac:dyDescent="0.2">
      <c r="A138" s="7"/>
      <c r="B138" s="7"/>
      <c r="C138" s="7"/>
      <c r="D138" s="7"/>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6"/>
      <c r="AJ138" s="6"/>
      <c r="AK138" s="6"/>
      <c r="AL138" s="6"/>
      <c r="AM138" s="6"/>
      <c r="AN138" s="6"/>
      <c r="AO138" s="6"/>
      <c r="AP138" s="3"/>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row>
    <row r="139" spans="1:80" x14ac:dyDescent="0.2">
      <c r="A139" s="7"/>
      <c r="B139" s="7"/>
      <c r="C139" s="7"/>
      <c r="D139" s="7"/>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6"/>
      <c r="AJ139" s="6"/>
      <c r="AK139" s="6"/>
      <c r="AL139" s="6"/>
      <c r="AM139" s="6"/>
      <c r="AN139" s="6"/>
      <c r="AO139" s="6"/>
      <c r="AP139" s="3"/>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row>
    <row r="140" spans="1:80" x14ac:dyDescent="0.2">
      <c r="A140" s="7"/>
      <c r="B140" s="7"/>
      <c r="C140" s="7"/>
      <c r="D140" s="7"/>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6"/>
      <c r="AJ140" s="6"/>
      <c r="AK140" s="6"/>
      <c r="AL140" s="6"/>
      <c r="AM140" s="6"/>
      <c r="AN140" s="6"/>
      <c r="AO140" s="6"/>
      <c r="AP140" s="3"/>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row>
    <row r="141" spans="1:80" x14ac:dyDescent="0.2">
      <c r="A141" s="7"/>
      <c r="B141" s="7"/>
      <c r="C141" s="7"/>
      <c r="D141" s="7"/>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6"/>
      <c r="AJ141" s="6"/>
      <c r="AK141" s="6"/>
      <c r="AL141" s="6"/>
      <c r="AM141" s="6"/>
      <c r="AN141" s="6"/>
      <c r="AO141" s="6"/>
      <c r="AP141" s="3"/>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row>
    <row r="142" spans="1:80" x14ac:dyDescent="0.2">
      <c r="A142" s="7"/>
      <c r="B142" s="7"/>
      <c r="C142" s="7"/>
      <c r="D142" s="7"/>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6"/>
      <c r="AJ142" s="6"/>
      <c r="AK142" s="6"/>
      <c r="AL142" s="6"/>
      <c r="AM142" s="6"/>
      <c r="AN142" s="6"/>
      <c r="AO142" s="6"/>
      <c r="AP142" s="3"/>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row>
    <row r="143" spans="1:80" x14ac:dyDescent="0.2">
      <c r="A143" s="7"/>
      <c r="B143" s="7"/>
      <c r="C143" s="7"/>
      <c r="D143" s="7"/>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6"/>
      <c r="AJ143" s="6"/>
      <c r="AK143" s="6"/>
      <c r="AL143" s="6"/>
      <c r="AM143" s="6"/>
      <c r="AN143" s="6"/>
      <c r="AO143" s="6"/>
      <c r="AP143" s="3"/>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row>
    <row r="144" spans="1:80" x14ac:dyDescent="0.2">
      <c r="A144" s="7"/>
      <c r="B144" s="7"/>
      <c r="C144" s="7"/>
      <c r="D144" s="7"/>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6"/>
      <c r="AJ144" s="6"/>
      <c r="AK144" s="6"/>
      <c r="AL144" s="6"/>
      <c r="AM144" s="6"/>
      <c r="AN144" s="6"/>
      <c r="AO144" s="6"/>
      <c r="AP144" s="3"/>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row>
    <row r="145" spans="1:80" x14ac:dyDescent="0.2">
      <c r="A145" s="7"/>
      <c r="B145" s="7"/>
      <c r="C145" s="7"/>
      <c r="D145" s="7"/>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6"/>
      <c r="AJ145" s="6"/>
      <c r="AK145" s="6"/>
      <c r="AL145" s="6"/>
      <c r="AM145" s="6"/>
      <c r="AN145" s="6"/>
      <c r="AO145" s="6"/>
      <c r="AP145" s="3"/>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row>
    <row r="146" spans="1:80" x14ac:dyDescent="0.2">
      <c r="A146" s="7"/>
      <c r="B146" s="7"/>
      <c r="C146" s="7"/>
      <c r="D146" s="7"/>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6"/>
      <c r="AJ146" s="6"/>
      <c r="AK146" s="6"/>
      <c r="AL146" s="6"/>
      <c r="AM146" s="6"/>
      <c r="AN146" s="6"/>
      <c r="AO146" s="6"/>
      <c r="AP146" s="3"/>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row>
    <row r="147" spans="1:80" x14ac:dyDescent="0.2">
      <c r="A147" s="7"/>
      <c r="B147" s="7"/>
      <c r="C147" s="7"/>
      <c r="D147" s="7"/>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6"/>
      <c r="AJ147" s="6"/>
      <c r="AK147" s="6"/>
      <c r="AL147" s="6"/>
      <c r="AM147" s="6"/>
      <c r="AN147" s="6"/>
      <c r="AO147" s="6"/>
      <c r="AP147" s="3"/>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row>
    <row r="148" spans="1:80" x14ac:dyDescent="0.2">
      <c r="A148" s="7"/>
      <c r="B148" s="7"/>
      <c r="C148" s="7"/>
      <c r="D148" s="7"/>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6"/>
      <c r="AJ148" s="6"/>
      <c r="AK148" s="6"/>
      <c r="AL148" s="6"/>
      <c r="AM148" s="6"/>
      <c r="AN148" s="6"/>
      <c r="AO148" s="6"/>
      <c r="AP148" s="3"/>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row>
    <row r="149" spans="1:80" x14ac:dyDescent="0.2">
      <c r="A149" s="7"/>
      <c r="B149" s="7"/>
      <c r="C149" s="7"/>
      <c r="D149" s="7"/>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6"/>
      <c r="AJ149" s="6"/>
      <c r="AK149" s="6"/>
      <c r="AL149" s="6"/>
      <c r="AM149" s="6"/>
      <c r="AN149" s="6"/>
      <c r="AO149" s="6"/>
      <c r="AP149" s="3"/>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row>
    <row r="150" spans="1:80" x14ac:dyDescent="0.2">
      <c r="A150" s="7"/>
      <c r="B150" s="7"/>
      <c r="C150" s="7"/>
      <c r="D150" s="7"/>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6"/>
      <c r="AJ150" s="6"/>
      <c r="AK150" s="6"/>
      <c r="AL150" s="6"/>
      <c r="AM150" s="6"/>
      <c r="AN150" s="6"/>
      <c r="AO150" s="6"/>
      <c r="AP150" s="3"/>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row>
    <row r="151" spans="1:80" x14ac:dyDescent="0.2">
      <c r="A151" s="7"/>
      <c r="B151" s="7"/>
      <c r="C151" s="7"/>
      <c r="D151" s="7"/>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6"/>
      <c r="AJ151" s="6"/>
      <c r="AK151" s="6"/>
      <c r="AL151" s="6"/>
      <c r="AM151" s="6"/>
      <c r="AN151" s="6"/>
      <c r="AO151" s="6"/>
      <c r="AP151" s="3"/>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row>
    <row r="152" spans="1:80" x14ac:dyDescent="0.2">
      <c r="A152" s="7"/>
      <c r="B152" s="7"/>
      <c r="C152" s="7"/>
      <c r="D152" s="7"/>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6"/>
      <c r="AJ152" s="6"/>
      <c r="AK152" s="6"/>
      <c r="AL152" s="6"/>
      <c r="AM152" s="6"/>
      <c r="AN152" s="6"/>
      <c r="AO152" s="6"/>
      <c r="AP152" s="3"/>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row>
    <row r="153" spans="1:80" x14ac:dyDescent="0.2">
      <c r="A153" s="7"/>
      <c r="B153" s="7"/>
      <c r="C153" s="7"/>
      <c r="D153" s="7"/>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6"/>
      <c r="AJ153" s="6"/>
      <c r="AK153" s="6"/>
      <c r="AL153" s="6"/>
      <c r="AM153" s="6"/>
      <c r="AN153" s="6"/>
      <c r="AO153" s="6"/>
      <c r="AP153" s="3"/>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row>
    <row r="154" spans="1:80" x14ac:dyDescent="0.2">
      <c r="A154" s="7"/>
      <c r="B154" s="7"/>
      <c r="C154" s="7"/>
      <c r="D154" s="7"/>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6"/>
      <c r="AJ154" s="6"/>
      <c r="AK154" s="6"/>
      <c r="AL154" s="6"/>
      <c r="AM154" s="6"/>
      <c r="AN154" s="6"/>
      <c r="AO154" s="6"/>
      <c r="AP154" s="3"/>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row>
    <row r="155" spans="1:80" x14ac:dyDescent="0.2">
      <c r="A155" s="7"/>
      <c r="B155" s="7"/>
      <c r="C155" s="7"/>
      <c r="D155" s="7"/>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6"/>
      <c r="AJ155" s="6"/>
      <c r="AK155" s="6"/>
      <c r="AL155" s="6"/>
      <c r="AM155" s="6"/>
      <c r="AN155" s="6"/>
      <c r="AO155" s="6"/>
      <c r="AP155" s="3"/>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row>
    <row r="156" spans="1:80" x14ac:dyDescent="0.2">
      <c r="A156" s="7"/>
      <c r="B156" s="7"/>
      <c r="C156" s="7"/>
      <c r="D156" s="7"/>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6"/>
      <c r="AJ156" s="6"/>
      <c r="AK156" s="6"/>
      <c r="AL156" s="6"/>
      <c r="AM156" s="6"/>
      <c r="AN156" s="6"/>
      <c r="AO156" s="6"/>
      <c r="AP156" s="3"/>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row>
    <row r="157" spans="1:80" x14ac:dyDescent="0.2">
      <c r="A157" s="7"/>
      <c r="B157" s="7"/>
      <c r="C157" s="7"/>
      <c r="D157" s="7"/>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6"/>
      <c r="AJ157" s="6"/>
      <c r="AK157" s="6"/>
      <c r="AL157" s="6"/>
      <c r="AM157" s="6"/>
      <c r="AN157" s="6"/>
      <c r="AO157" s="6"/>
      <c r="AP157" s="3"/>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row>
    <row r="158" spans="1:80" x14ac:dyDescent="0.2">
      <c r="A158" s="7"/>
      <c r="B158" s="7"/>
      <c r="C158" s="7"/>
      <c r="D158" s="7"/>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6"/>
      <c r="AJ158" s="6"/>
      <c r="AK158" s="6"/>
      <c r="AL158" s="6"/>
      <c r="AM158" s="6"/>
      <c r="AN158" s="6"/>
      <c r="AO158" s="6"/>
      <c r="AP158" s="3"/>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row>
    <row r="159" spans="1:80" x14ac:dyDescent="0.2">
      <c r="A159" s="7"/>
      <c r="B159" s="7"/>
      <c r="C159" s="7"/>
      <c r="D159" s="7"/>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6"/>
      <c r="AJ159" s="6"/>
      <c r="AK159" s="6"/>
      <c r="AL159" s="6"/>
      <c r="AM159" s="6"/>
      <c r="AN159" s="6"/>
      <c r="AO159" s="6"/>
      <c r="AP159" s="3"/>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row>
    <row r="160" spans="1:80" x14ac:dyDescent="0.2">
      <c r="A160" s="7"/>
      <c r="B160" s="7"/>
      <c r="C160" s="7"/>
      <c r="D160" s="7"/>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6"/>
      <c r="AJ160" s="6"/>
      <c r="AK160" s="6"/>
      <c r="AL160" s="6"/>
      <c r="AM160" s="6"/>
      <c r="AN160" s="6"/>
      <c r="AO160" s="6"/>
      <c r="AP160" s="3"/>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row>
    <row r="161" spans="1:80" x14ac:dyDescent="0.2">
      <c r="A161" s="7"/>
      <c r="B161" s="7"/>
      <c r="C161" s="7"/>
      <c r="D161" s="7"/>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6"/>
      <c r="AJ161" s="6"/>
      <c r="AK161" s="6"/>
      <c r="AL161" s="6"/>
      <c r="AM161" s="6"/>
      <c r="AN161" s="6"/>
      <c r="AO161" s="6"/>
      <c r="AP161" s="3"/>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row>
    <row r="162" spans="1:80" x14ac:dyDescent="0.2">
      <c r="A162" s="7"/>
      <c r="B162" s="7"/>
      <c r="C162" s="7"/>
      <c r="D162" s="7"/>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6"/>
      <c r="AJ162" s="6"/>
      <c r="AK162" s="6"/>
      <c r="AL162" s="6"/>
      <c r="AM162" s="6"/>
      <c r="AN162" s="6"/>
      <c r="AO162" s="6"/>
      <c r="AP162" s="3"/>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row>
    <row r="163" spans="1:80" x14ac:dyDescent="0.2">
      <c r="A163" s="7"/>
      <c r="B163" s="7"/>
      <c r="C163" s="7"/>
      <c r="D163" s="7"/>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6"/>
      <c r="AJ163" s="6"/>
      <c r="AK163" s="6"/>
      <c r="AL163" s="6"/>
      <c r="AM163" s="6"/>
      <c r="AN163" s="6"/>
      <c r="AO163" s="6"/>
      <c r="AP163" s="3"/>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row>
    <row r="164" spans="1:80" x14ac:dyDescent="0.2">
      <c r="A164" s="7"/>
      <c r="B164" s="7"/>
      <c r="C164" s="7"/>
      <c r="D164" s="7"/>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6"/>
      <c r="AJ164" s="6"/>
      <c r="AK164" s="6"/>
      <c r="AL164" s="6"/>
      <c r="AM164" s="6"/>
      <c r="AN164" s="6"/>
      <c r="AO164" s="6"/>
      <c r="AP164" s="3"/>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row>
    <row r="165" spans="1:80" x14ac:dyDescent="0.2">
      <c r="A165" s="7"/>
      <c r="B165" s="7"/>
      <c r="C165" s="7"/>
      <c r="D165" s="7"/>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6"/>
      <c r="AJ165" s="6"/>
      <c r="AK165" s="6"/>
      <c r="AL165" s="6"/>
      <c r="AM165" s="6"/>
      <c r="AN165" s="6"/>
      <c r="AO165" s="6"/>
      <c r="AP165" s="3"/>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row>
    <row r="166" spans="1:80" x14ac:dyDescent="0.2">
      <c r="A166" s="7"/>
      <c r="B166" s="7"/>
      <c r="C166" s="7"/>
      <c r="D166" s="7"/>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6"/>
      <c r="AJ166" s="6"/>
      <c r="AK166" s="6"/>
      <c r="AL166" s="6"/>
      <c r="AM166" s="6"/>
      <c r="AN166" s="6"/>
      <c r="AO166" s="6"/>
      <c r="AP166" s="3"/>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row>
    <row r="167" spans="1:80" x14ac:dyDescent="0.2">
      <c r="A167" s="7"/>
      <c r="B167" s="7"/>
      <c r="C167" s="7"/>
      <c r="D167" s="7"/>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6"/>
      <c r="AJ167" s="6"/>
      <c r="AK167" s="6"/>
      <c r="AL167" s="6"/>
      <c r="AM167" s="6"/>
      <c r="AN167" s="6"/>
      <c r="AO167" s="6"/>
      <c r="AP167" s="3"/>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row>
    <row r="168" spans="1:80" x14ac:dyDescent="0.2">
      <c r="A168" s="7"/>
      <c r="B168" s="7"/>
      <c r="C168" s="7"/>
      <c r="D168" s="7"/>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6"/>
      <c r="AJ168" s="6"/>
      <c r="AK168" s="6"/>
      <c r="AL168" s="6"/>
      <c r="AM168" s="6"/>
      <c r="AN168" s="6"/>
      <c r="AO168" s="6"/>
      <c r="AP168" s="3"/>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row>
    <row r="169" spans="1:80" x14ac:dyDescent="0.2">
      <c r="A169" s="7"/>
      <c r="B169" s="7"/>
      <c r="C169" s="7"/>
      <c r="D169" s="7"/>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6"/>
      <c r="AJ169" s="6"/>
      <c r="AK169" s="6"/>
      <c r="AL169" s="6"/>
      <c r="AM169" s="6"/>
      <c r="AN169" s="6"/>
      <c r="AO169" s="6"/>
      <c r="AP169" s="3"/>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row>
    <row r="170" spans="1:80" x14ac:dyDescent="0.2">
      <c r="A170" s="7"/>
      <c r="B170" s="7"/>
      <c r="C170" s="7"/>
      <c r="D170" s="7"/>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6"/>
      <c r="AJ170" s="6"/>
      <c r="AK170" s="6"/>
      <c r="AL170" s="6"/>
      <c r="AM170" s="6"/>
      <c r="AN170" s="6"/>
      <c r="AO170" s="6"/>
      <c r="AP170" s="3"/>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row>
    <row r="171" spans="1:80" x14ac:dyDescent="0.2">
      <c r="A171" s="7"/>
      <c r="B171" s="7"/>
      <c r="C171" s="7"/>
      <c r="D171" s="7"/>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6"/>
      <c r="AJ171" s="6"/>
      <c r="AK171" s="6"/>
      <c r="AL171" s="6"/>
      <c r="AM171" s="6"/>
      <c r="AN171" s="6"/>
      <c r="AO171" s="6"/>
      <c r="AP171" s="3"/>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row>
    <row r="172" spans="1:80" x14ac:dyDescent="0.2">
      <c r="A172" s="7"/>
      <c r="B172" s="7"/>
      <c r="C172" s="7"/>
      <c r="D172" s="7"/>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6"/>
      <c r="AJ172" s="6"/>
      <c r="AK172" s="6"/>
      <c r="AL172" s="6"/>
      <c r="AM172" s="6"/>
      <c r="AN172" s="6"/>
      <c r="AO172" s="6"/>
      <c r="AP172" s="3"/>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row>
    <row r="173" spans="1:80" x14ac:dyDescent="0.2">
      <c r="A173" s="7"/>
      <c r="B173" s="7"/>
      <c r="C173" s="7"/>
      <c r="D173" s="7"/>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6"/>
      <c r="AJ173" s="6"/>
      <c r="AK173" s="6"/>
      <c r="AL173" s="6"/>
      <c r="AM173" s="6"/>
      <c r="AN173" s="6"/>
      <c r="AO173" s="6"/>
      <c r="AP173" s="3"/>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row>
    <row r="174" spans="1:80" x14ac:dyDescent="0.2">
      <c r="A174" s="7"/>
      <c r="B174" s="7"/>
      <c r="C174" s="7"/>
      <c r="D174" s="7"/>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6"/>
      <c r="AJ174" s="6"/>
      <c r="AK174" s="6"/>
      <c r="AL174" s="6"/>
      <c r="AM174" s="6"/>
      <c r="AN174" s="6"/>
      <c r="AO174" s="6"/>
      <c r="AP174" s="3"/>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row>
    <row r="175" spans="1:80" x14ac:dyDescent="0.2">
      <c r="A175" s="7"/>
      <c r="B175" s="7"/>
      <c r="C175" s="7"/>
      <c r="D175" s="7"/>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6"/>
      <c r="AJ175" s="6"/>
      <c r="AK175" s="6"/>
      <c r="AL175" s="6"/>
      <c r="AM175" s="6"/>
      <c r="AN175" s="6"/>
      <c r="AO175" s="6"/>
      <c r="AP175" s="3"/>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row>
    <row r="176" spans="1:80" x14ac:dyDescent="0.2">
      <c r="A176" s="7"/>
      <c r="B176" s="7"/>
      <c r="C176" s="7"/>
      <c r="D176" s="7"/>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6"/>
      <c r="AJ176" s="6"/>
      <c r="AK176" s="6"/>
      <c r="AL176" s="6"/>
      <c r="AM176" s="6"/>
      <c r="AN176" s="6"/>
      <c r="AO176" s="6"/>
      <c r="AP176" s="3"/>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row>
    <row r="177" spans="1:80" x14ac:dyDescent="0.2">
      <c r="A177" s="7"/>
      <c r="B177" s="7"/>
      <c r="C177" s="7"/>
      <c r="D177" s="7"/>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6"/>
      <c r="AJ177" s="6"/>
      <c r="AK177" s="6"/>
      <c r="AL177" s="6"/>
      <c r="AM177" s="6"/>
      <c r="AN177" s="6"/>
      <c r="AO177" s="6"/>
      <c r="AP177" s="3"/>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row>
    <row r="178" spans="1:80" x14ac:dyDescent="0.2">
      <c r="A178" s="7"/>
      <c r="B178" s="7"/>
      <c r="C178" s="7"/>
      <c r="D178" s="7"/>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6"/>
      <c r="AJ178" s="6"/>
      <c r="AK178" s="6"/>
      <c r="AL178" s="6"/>
      <c r="AM178" s="6"/>
      <c r="AN178" s="6"/>
      <c r="AO178" s="6"/>
      <c r="AP178" s="3"/>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row>
    <row r="179" spans="1:80" x14ac:dyDescent="0.2">
      <c r="A179" s="7"/>
      <c r="B179" s="7"/>
      <c r="C179" s="7"/>
      <c r="D179" s="7"/>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6"/>
      <c r="AJ179" s="6"/>
      <c r="AK179" s="6"/>
      <c r="AL179" s="6"/>
      <c r="AM179" s="6"/>
      <c r="AN179" s="6"/>
      <c r="AO179" s="6"/>
      <c r="AP179" s="3"/>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row>
    <row r="180" spans="1:80" x14ac:dyDescent="0.2">
      <c r="A180" s="7"/>
      <c r="B180" s="7"/>
      <c r="C180" s="7"/>
      <c r="D180" s="7"/>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6"/>
      <c r="AJ180" s="6"/>
      <c r="AK180" s="6"/>
      <c r="AL180" s="6"/>
      <c r="AM180" s="6"/>
      <c r="AN180" s="6"/>
      <c r="AO180" s="6"/>
      <c r="AP180" s="3"/>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row>
    <row r="181" spans="1:80" x14ac:dyDescent="0.2">
      <c r="A181" s="7"/>
      <c r="B181" s="7"/>
      <c r="C181" s="7"/>
      <c r="D181" s="7"/>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6"/>
      <c r="AJ181" s="6"/>
      <c r="AK181" s="6"/>
      <c r="AL181" s="6"/>
      <c r="AM181" s="6"/>
      <c r="AN181" s="6"/>
      <c r="AO181" s="6"/>
      <c r="AP181" s="3"/>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row>
    <row r="182" spans="1:80" x14ac:dyDescent="0.2">
      <c r="A182" s="7"/>
      <c r="B182" s="7"/>
      <c r="C182" s="7"/>
      <c r="D182" s="7"/>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6"/>
      <c r="AJ182" s="6"/>
      <c r="AK182" s="6"/>
      <c r="AL182" s="6"/>
      <c r="AM182" s="6"/>
      <c r="AN182" s="6"/>
      <c r="AO182" s="6"/>
      <c r="AP182" s="3"/>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row>
    <row r="183" spans="1:80" x14ac:dyDescent="0.2">
      <c r="A183" s="7"/>
      <c r="B183" s="7"/>
      <c r="C183" s="7"/>
      <c r="D183" s="7"/>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6"/>
      <c r="AJ183" s="6"/>
      <c r="AK183" s="6"/>
      <c r="AL183" s="6"/>
      <c r="AM183" s="6"/>
      <c r="AN183" s="6"/>
      <c r="AO183" s="6"/>
      <c r="AP183" s="3"/>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row>
    <row r="184" spans="1:80" x14ac:dyDescent="0.2">
      <c r="A184" s="7"/>
      <c r="B184" s="7"/>
      <c r="C184" s="7"/>
      <c r="D184" s="7"/>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6"/>
      <c r="AJ184" s="6"/>
      <c r="AK184" s="6"/>
      <c r="AL184" s="6"/>
      <c r="AM184" s="6"/>
      <c r="AN184" s="6"/>
      <c r="AO184" s="6"/>
      <c r="AP184" s="3"/>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row>
    <row r="185" spans="1:80" x14ac:dyDescent="0.2">
      <c r="A185" s="7"/>
      <c r="B185" s="7"/>
      <c r="C185" s="7"/>
      <c r="D185" s="7"/>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6"/>
      <c r="AJ185" s="6"/>
      <c r="AK185" s="6"/>
      <c r="AL185" s="6"/>
      <c r="AM185" s="6"/>
      <c r="AN185" s="6"/>
      <c r="AO185" s="6"/>
      <c r="AP185" s="3"/>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row>
    <row r="186" spans="1:80" x14ac:dyDescent="0.2">
      <c r="A186" s="7"/>
      <c r="B186" s="7"/>
      <c r="C186" s="7"/>
      <c r="D186" s="7"/>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6"/>
      <c r="AJ186" s="6"/>
      <c r="AK186" s="6"/>
      <c r="AL186" s="6"/>
      <c r="AM186" s="6"/>
      <c r="AN186" s="6"/>
      <c r="AO186" s="6"/>
      <c r="AP186" s="3"/>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row>
    <row r="187" spans="1:80" x14ac:dyDescent="0.2">
      <c r="A187" s="7"/>
      <c r="B187" s="7"/>
      <c r="C187" s="7"/>
      <c r="D187" s="7"/>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6"/>
      <c r="AJ187" s="6"/>
      <c r="AK187" s="6"/>
      <c r="AL187" s="6"/>
      <c r="AM187" s="6"/>
      <c r="AN187" s="6"/>
      <c r="AO187" s="6"/>
      <c r="AP187" s="3"/>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row>
    <row r="188" spans="1:80" x14ac:dyDescent="0.2">
      <c r="A188" s="7"/>
      <c r="B188" s="7"/>
      <c r="C188" s="7"/>
      <c r="D188" s="7"/>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6"/>
      <c r="AJ188" s="6"/>
      <c r="AK188" s="6"/>
      <c r="AL188" s="6"/>
      <c r="AM188" s="6"/>
      <c r="AN188" s="6"/>
      <c r="AO188" s="6"/>
      <c r="AP188" s="3"/>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row>
    <row r="189" spans="1:80" x14ac:dyDescent="0.2">
      <c r="A189" s="7"/>
      <c r="B189" s="7"/>
      <c r="C189" s="7"/>
      <c r="D189" s="7"/>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6"/>
      <c r="AJ189" s="6"/>
      <c r="AK189" s="6"/>
      <c r="AL189" s="6"/>
      <c r="AM189" s="6"/>
      <c r="AN189" s="6"/>
      <c r="AO189" s="6"/>
      <c r="AP189" s="3"/>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row>
    <row r="190" spans="1:80" x14ac:dyDescent="0.2">
      <c r="A190" s="7"/>
      <c r="B190" s="7"/>
      <c r="C190" s="7"/>
      <c r="D190" s="7"/>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6"/>
      <c r="AJ190" s="6"/>
      <c r="AK190" s="6"/>
      <c r="AL190" s="6"/>
      <c r="AM190" s="6"/>
      <c r="AN190" s="6"/>
      <c r="AO190" s="6"/>
      <c r="AP190" s="3"/>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row>
    <row r="191" spans="1:80" x14ac:dyDescent="0.2">
      <c r="A191" s="7"/>
      <c r="B191" s="7"/>
      <c r="C191" s="7"/>
      <c r="D191" s="7"/>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6"/>
      <c r="AJ191" s="6"/>
      <c r="AK191" s="6"/>
      <c r="AL191" s="6"/>
      <c r="AM191" s="6"/>
      <c r="AN191" s="6"/>
      <c r="AO191" s="6"/>
      <c r="AP191" s="3"/>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row>
    <row r="192" spans="1:80" x14ac:dyDescent="0.2">
      <c r="A192" s="7"/>
      <c r="B192" s="7"/>
      <c r="C192" s="7"/>
      <c r="D192" s="7"/>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6"/>
      <c r="AJ192" s="6"/>
      <c r="AK192" s="6"/>
      <c r="AL192" s="6"/>
      <c r="AM192" s="6"/>
      <c r="AN192" s="6"/>
      <c r="AO192" s="6"/>
      <c r="AP192" s="3"/>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row>
    <row r="193" spans="1:80" x14ac:dyDescent="0.2">
      <c r="A193" s="7"/>
      <c r="B193" s="7"/>
      <c r="C193" s="7"/>
      <c r="D193" s="7"/>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6"/>
      <c r="AJ193" s="6"/>
      <c r="AK193" s="6"/>
      <c r="AL193" s="6"/>
      <c r="AM193" s="6"/>
      <c r="AN193" s="6"/>
      <c r="AO193" s="6"/>
      <c r="AP193" s="3"/>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row>
    <row r="194" spans="1:80" x14ac:dyDescent="0.2">
      <c r="A194" s="7"/>
      <c r="B194" s="7"/>
      <c r="C194" s="7"/>
      <c r="D194" s="7"/>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6"/>
      <c r="AJ194" s="6"/>
      <c r="AK194" s="6"/>
      <c r="AL194" s="6"/>
      <c r="AM194" s="6"/>
      <c r="AN194" s="6"/>
      <c r="AO194" s="6"/>
      <c r="AP194" s="3"/>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row>
    <row r="195" spans="1:80" x14ac:dyDescent="0.2">
      <c r="A195" s="7"/>
      <c r="B195" s="7"/>
      <c r="C195" s="7"/>
      <c r="D195" s="7"/>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6"/>
      <c r="AJ195" s="6"/>
      <c r="AK195" s="6"/>
      <c r="AL195" s="6"/>
      <c r="AM195" s="6"/>
      <c r="AN195" s="6"/>
      <c r="AO195" s="6"/>
      <c r="AP195" s="3"/>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row>
    <row r="196" spans="1:80" x14ac:dyDescent="0.2">
      <c r="A196" s="7"/>
      <c r="B196" s="7"/>
      <c r="C196" s="7"/>
      <c r="D196" s="7"/>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6"/>
      <c r="AJ196" s="6"/>
      <c r="AK196" s="6"/>
      <c r="AL196" s="6"/>
      <c r="AM196" s="6"/>
      <c r="AN196" s="6"/>
      <c r="AO196" s="6"/>
      <c r="AP196" s="3"/>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row>
    <row r="197" spans="1:80" x14ac:dyDescent="0.2">
      <c r="A197" s="7"/>
      <c r="B197" s="7"/>
      <c r="C197" s="7"/>
      <c r="D197" s="7"/>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6"/>
      <c r="AJ197" s="6"/>
      <c r="AK197" s="6"/>
      <c r="AL197" s="6"/>
      <c r="AM197" s="6"/>
      <c r="AN197" s="6"/>
      <c r="AO197" s="6"/>
      <c r="AP197" s="3"/>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row>
    <row r="198" spans="1:80" x14ac:dyDescent="0.2">
      <c r="A198" s="7"/>
      <c r="B198" s="7"/>
      <c r="C198" s="7"/>
      <c r="D198" s="7"/>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6"/>
      <c r="AJ198" s="6"/>
      <c r="AK198" s="6"/>
      <c r="AL198" s="6"/>
      <c r="AM198" s="6"/>
      <c r="AN198" s="6"/>
      <c r="AO198" s="6"/>
      <c r="AP198" s="3"/>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row>
    <row r="199" spans="1:80" x14ac:dyDescent="0.2">
      <c r="A199" s="7"/>
      <c r="B199" s="7"/>
      <c r="C199" s="7"/>
      <c r="D199" s="7"/>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6"/>
      <c r="AJ199" s="6"/>
      <c r="AK199" s="6"/>
      <c r="AL199" s="6"/>
      <c r="AM199" s="6"/>
      <c r="AN199" s="6"/>
      <c r="AO199" s="6"/>
      <c r="AP199" s="3"/>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row>
    <row r="200" spans="1:80" x14ac:dyDescent="0.2">
      <c r="A200" s="7"/>
      <c r="B200" s="7"/>
      <c r="C200" s="7"/>
      <c r="D200" s="7"/>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6"/>
      <c r="AJ200" s="6"/>
      <c r="AK200" s="6"/>
      <c r="AL200" s="6"/>
      <c r="AM200" s="6"/>
      <c r="AN200" s="6"/>
      <c r="AO200" s="6"/>
      <c r="AP200" s="3"/>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row>
    <row r="201" spans="1:80" x14ac:dyDescent="0.2">
      <c r="A201" s="7"/>
      <c r="B201" s="7"/>
      <c r="C201" s="7"/>
      <c r="D201" s="7"/>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6"/>
      <c r="AJ201" s="6"/>
      <c r="AK201" s="6"/>
      <c r="AL201" s="6"/>
      <c r="AM201" s="6"/>
      <c r="AN201" s="6"/>
      <c r="AO201" s="6"/>
      <c r="AP201" s="3"/>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row>
    <row r="202" spans="1:80" x14ac:dyDescent="0.2">
      <c r="A202" s="7"/>
      <c r="B202" s="7"/>
      <c r="C202" s="7"/>
      <c r="D202" s="7"/>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6"/>
      <c r="AJ202" s="6"/>
      <c r="AK202" s="6"/>
      <c r="AL202" s="6"/>
      <c r="AM202" s="6"/>
      <c r="AN202" s="6"/>
      <c r="AO202" s="6"/>
      <c r="AP202" s="3"/>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row>
    <row r="203" spans="1:80" x14ac:dyDescent="0.2">
      <c r="A203" s="7"/>
      <c r="B203" s="7"/>
      <c r="C203" s="7"/>
      <c r="D203" s="7"/>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6"/>
      <c r="AJ203" s="6"/>
      <c r="AK203" s="6"/>
      <c r="AL203" s="6"/>
      <c r="AM203" s="6"/>
      <c r="AN203" s="6"/>
      <c r="AO203" s="6"/>
      <c r="AP203" s="3"/>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row>
    <row r="204" spans="1:80" x14ac:dyDescent="0.2">
      <c r="A204" s="7"/>
      <c r="B204" s="7"/>
      <c r="C204" s="7"/>
      <c r="D204" s="7"/>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6"/>
      <c r="AJ204" s="6"/>
      <c r="AK204" s="6"/>
      <c r="AL204" s="6"/>
      <c r="AM204" s="6"/>
      <c r="AN204" s="6"/>
      <c r="AO204" s="6"/>
      <c r="AP204" s="3"/>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row>
    <row r="205" spans="1:80" x14ac:dyDescent="0.2">
      <c r="A205" s="7"/>
      <c r="B205" s="7"/>
      <c r="C205" s="7"/>
      <c r="D205" s="7"/>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6"/>
      <c r="AJ205" s="6"/>
      <c r="AK205" s="6"/>
      <c r="AL205" s="6"/>
      <c r="AM205" s="6"/>
      <c r="AN205" s="6"/>
      <c r="AO205" s="6"/>
      <c r="AP205" s="3"/>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row>
    <row r="206" spans="1:80" x14ac:dyDescent="0.2">
      <c r="A206" s="7"/>
      <c r="B206" s="7"/>
      <c r="C206" s="7"/>
      <c r="D206" s="7"/>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6"/>
      <c r="AJ206" s="6"/>
      <c r="AK206" s="6"/>
      <c r="AL206" s="6"/>
      <c r="AM206" s="6"/>
      <c r="AN206" s="6"/>
      <c r="AO206" s="6"/>
      <c r="AP206" s="3"/>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row>
    <row r="207" spans="1:80" x14ac:dyDescent="0.2">
      <c r="A207" s="7"/>
      <c r="B207" s="7"/>
      <c r="C207" s="7"/>
      <c r="D207" s="7"/>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6"/>
      <c r="AJ207" s="6"/>
      <c r="AK207" s="6"/>
      <c r="AL207" s="6"/>
      <c r="AM207" s="6"/>
      <c r="AN207" s="6"/>
      <c r="AO207" s="6"/>
      <c r="AP207" s="3"/>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row>
    <row r="208" spans="1:80" x14ac:dyDescent="0.2">
      <c r="A208" s="7"/>
      <c r="B208" s="7"/>
      <c r="C208" s="7"/>
      <c r="D208" s="7"/>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6"/>
      <c r="AJ208" s="6"/>
      <c r="AK208" s="6"/>
      <c r="AL208" s="6"/>
      <c r="AM208" s="6"/>
      <c r="AN208" s="6"/>
      <c r="AO208" s="6"/>
      <c r="AP208" s="3"/>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row>
    <row r="209" spans="1:80" x14ac:dyDescent="0.2">
      <c r="A209" s="7"/>
      <c r="B209" s="7"/>
      <c r="C209" s="7"/>
      <c r="D209" s="7"/>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6"/>
      <c r="AJ209" s="6"/>
      <c r="AK209" s="6"/>
      <c r="AL209" s="6"/>
      <c r="AM209" s="6"/>
      <c r="AN209" s="6"/>
      <c r="AO209" s="6"/>
      <c r="AP209" s="3"/>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row>
    <row r="210" spans="1:80" x14ac:dyDescent="0.2">
      <c r="A210" s="7"/>
      <c r="B210" s="7"/>
      <c r="C210" s="7"/>
      <c r="D210" s="7"/>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6"/>
      <c r="AJ210" s="6"/>
      <c r="AK210" s="6"/>
      <c r="AL210" s="6"/>
      <c r="AM210" s="6"/>
      <c r="AN210" s="6"/>
      <c r="AO210" s="6"/>
      <c r="AP210" s="3"/>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row>
    <row r="211" spans="1:80" x14ac:dyDescent="0.2">
      <c r="A211" s="7"/>
      <c r="B211" s="7"/>
      <c r="C211" s="7"/>
      <c r="D211" s="7"/>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6"/>
      <c r="AJ211" s="6"/>
      <c r="AK211" s="6"/>
      <c r="AL211" s="6"/>
      <c r="AM211" s="6"/>
      <c r="AN211" s="6"/>
      <c r="AO211" s="6"/>
      <c r="AP211" s="3"/>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row>
    <row r="212" spans="1:80" x14ac:dyDescent="0.2">
      <c r="A212" s="7"/>
      <c r="B212" s="7"/>
      <c r="C212" s="7"/>
      <c r="D212" s="7"/>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6"/>
      <c r="AJ212" s="6"/>
      <c r="AK212" s="6"/>
      <c r="AL212" s="6"/>
      <c r="AM212" s="6"/>
      <c r="AN212" s="6"/>
      <c r="AO212" s="6"/>
      <c r="AP212" s="3"/>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row>
    <row r="213" spans="1:80" x14ac:dyDescent="0.2">
      <c r="A213" s="7"/>
      <c r="B213" s="7"/>
      <c r="C213" s="7"/>
      <c r="D213" s="7"/>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6"/>
      <c r="AJ213" s="6"/>
      <c r="AK213" s="6"/>
      <c r="AL213" s="6"/>
      <c r="AM213" s="6"/>
      <c r="AN213" s="6"/>
      <c r="AO213" s="6"/>
      <c r="AP213" s="3"/>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row>
    <row r="214" spans="1:80" x14ac:dyDescent="0.2">
      <c r="A214" s="7"/>
      <c r="B214" s="7"/>
      <c r="C214" s="7"/>
      <c r="D214" s="7"/>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6"/>
      <c r="AJ214" s="6"/>
      <c r="AK214" s="6"/>
      <c r="AL214" s="6"/>
      <c r="AM214" s="6"/>
      <c r="AN214" s="6"/>
      <c r="AO214" s="6"/>
      <c r="AP214" s="3"/>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row>
    <row r="215" spans="1:80" x14ac:dyDescent="0.2">
      <c r="A215" s="7"/>
      <c r="B215" s="7"/>
      <c r="C215" s="7"/>
      <c r="D215" s="7"/>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6"/>
      <c r="AJ215" s="6"/>
      <c r="AK215" s="6"/>
      <c r="AL215" s="6"/>
      <c r="AM215" s="6"/>
      <c r="AN215" s="6"/>
      <c r="AO215" s="6"/>
      <c r="AP215" s="3"/>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row>
    <row r="216" spans="1:80" x14ac:dyDescent="0.2">
      <c r="A216" s="7"/>
      <c r="B216" s="7"/>
      <c r="C216" s="7"/>
      <c r="D216" s="7"/>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6"/>
      <c r="AJ216" s="6"/>
      <c r="AK216" s="6"/>
      <c r="AL216" s="6"/>
      <c r="AM216" s="6"/>
      <c r="AN216" s="6"/>
      <c r="AO216" s="6"/>
      <c r="AP216" s="3"/>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row>
    <row r="217" spans="1:80" x14ac:dyDescent="0.2">
      <c r="A217" s="7"/>
      <c r="B217" s="7"/>
      <c r="C217" s="7"/>
      <c r="D217" s="7"/>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6"/>
      <c r="AJ217" s="6"/>
      <c r="AK217" s="6"/>
      <c r="AL217" s="6"/>
      <c r="AM217" s="6"/>
      <c r="AN217" s="6"/>
      <c r="AO217" s="6"/>
      <c r="AP217" s="3"/>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row>
    <row r="218" spans="1:80" x14ac:dyDescent="0.2">
      <c r="A218" s="7"/>
      <c r="B218" s="7"/>
      <c r="C218" s="7"/>
      <c r="D218" s="7"/>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6"/>
      <c r="AJ218" s="6"/>
      <c r="AK218" s="6"/>
      <c r="AL218" s="6"/>
      <c r="AM218" s="6"/>
      <c r="AN218" s="6"/>
      <c r="AO218" s="6"/>
      <c r="AP218" s="3"/>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row>
    <row r="219" spans="1:80" x14ac:dyDescent="0.2">
      <c r="A219" s="7"/>
      <c r="B219" s="7"/>
      <c r="C219" s="7"/>
      <c r="D219" s="7"/>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6"/>
      <c r="AJ219" s="6"/>
      <c r="AK219" s="6"/>
      <c r="AL219" s="6"/>
      <c r="AM219" s="6"/>
      <c r="AN219" s="6"/>
      <c r="AO219" s="6"/>
      <c r="AP219" s="3"/>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row>
    <row r="220" spans="1:80" x14ac:dyDescent="0.2">
      <c r="A220" s="7"/>
      <c r="B220" s="7"/>
      <c r="C220" s="7"/>
      <c r="D220" s="7"/>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6"/>
      <c r="AJ220" s="6"/>
      <c r="AK220" s="6"/>
      <c r="AL220" s="6"/>
      <c r="AM220" s="6"/>
      <c r="AN220" s="6"/>
      <c r="AO220" s="6"/>
      <c r="AP220" s="3"/>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row>
    <row r="221" spans="1:80" x14ac:dyDescent="0.2">
      <c r="A221" s="7"/>
      <c r="B221" s="7"/>
      <c r="C221" s="7"/>
      <c r="D221" s="7"/>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6"/>
      <c r="AJ221" s="6"/>
      <c r="AK221" s="6"/>
      <c r="AL221" s="6"/>
      <c r="AM221" s="6"/>
      <c r="AN221" s="6"/>
      <c r="AO221" s="6"/>
      <c r="AP221" s="3"/>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row>
    <row r="222" spans="1:80" x14ac:dyDescent="0.2">
      <c r="A222" s="7"/>
      <c r="B222" s="7"/>
      <c r="C222" s="7"/>
      <c r="D222" s="7"/>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6"/>
      <c r="AJ222" s="6"/>
      <c r="AK222" s="6"/>
      <c r="AL222" s="6"/>
      <c r="AM222" s="6"/>
      <c r="AN222" s="6"/>
      <c r="AO222" s="6"/>
      <c r="AP222" s="3"/>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row>
    <row r="223" spans="1:80" x14ac:dyDescent="0.2">
      <c r="A223" s="7"/>
      <c r="B223" s="7"/>
      <c r="C223" s="7"/>
      <c r="D223" s="7"/>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6"/>
      <c r="AJ223" s="6"/>
      <c r="AK223" s="6"/>
      <c r="AL223" s="6"/>
      <c r="AM223" s="6"/>
      <c r="AN223" s="6"/>
      <c r="AO223" s="6"/>
      <c r="AP223" s="3"/>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row>
    <row r="224" spans="1:80" x14ac:dyDescent="0.2">
      <c r="A224" s="7"/>
      <c r="B224" s="7"/>
      <c r="C224" s="7"/>
      <c r="D224" s="7"/>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6"/>
      <c r="AJ224" s="6"/>
      <c r="AK224" s="6"/>
      <c r="AL224" s="6"/>
      <c r="AM224" s="6"/>
      <c r="AN224" s="6"/>
      <c r="AO224" s="6"/>
      <c r="AP224" s="3"/>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row>
    <row r="225" spans="1:80" x14ac:dyDescent="0.2">
      <c r="A225" s="7"/>
      <c r="B225" s="7"/>
      <c r="C225" s="7"/>
      <c r="D225" s="7"/>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6"/>
      <c r="AJ225" s="6"/>
      <c r="AK225" s="6"/>
      <c r="AL225" s="6"/>
      <c r="AM225" s="6"/>
      <c r="AN225" s="6"/>
      <c r="AO225" s="6"/>
      <c r="AP225" s="3"/>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row>
    <row r="226" spans="1:80" x14ac:dyDescent="0.2">
      <c r="A226" s="7"/>
      <c r="B226" s="7"/>
      <c r="C226" s="7"/>
      <c r="D226" s="7"/>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6"/>
      <c r="AJ226" s="6"/>
      <c r="AK226" s="6"/>
      <c r="AL226" s="6"/>
      <c r="AM226" s="6"/>
      <c r="AN226" s="6"/>
      <c r="AO226" s="6"/>
      <c r="AP226" s="3"/>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row>
    <row r="227" spans="1:80" x14ac:dyDescent="0.2">
      <c r="A227" s="7"/>
      <c r="B227" s="7"/>
      <c r="C227" s="7"/>
      <c r="D227" s="7"/>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6"/>
      <c r="AJ227" s="6"/>
      <c r="AK227" s="6"/>
      <c r="AL227" s="6"/>
      <c r="AM227" s="6"/>
      <c r="AN227" s="6"/>
      <c r="AO227" s="6"/>
      <c r="AP227" s="3"/>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row>
    <row r="228" spans="1:80" x14ac:dyDescent="0.2">
      <c r="A228" s="7"/>
      <c r="B228" s="7"/>
      <c r="C228" s="7"/>
      <c r="D228" s="7"/>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6"/>
      <c r="AJ228" s="6"/>
      <c r="AK228" s="6"/>
      <c r="AL228" s="6"/>
      <c r="AM228" s="6"/>
      <c r="AN228" s="6"/>
      <c r="AO228" s="6"/>
      <c r="AP228" s="3"/>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row>
    <row r="229" spans="1:80" x14ac:dyDescent="0.2">
      <c r="A229" s="7"/>
      <c r="B229" s="7"/>
      <c r="C229" s="7"/>
      <c r="D229" s="7"/>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6"/>
      <c r="AJ229" s="6"/>
      <c r="AK229" s="6"/>
      <c r="AL229" s="6"/>
      <c r="AM229" s="6"/>
      <c r="AN229" s="6"/>
      <c r="AO229" s="6"/>
      <c r="AP229" s="3"/>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row>
    <row r="230" spans="1:80" x14ac:dyDescent="0.2">
      <c r="A230" s="7"/>
      <c r="B230" s="7"/>
      <c r="C230" s="7"/>
      <c r="D230" s="7"/>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6"/>
      <c r="AJ230" s="6"/>
      <c r="AK230" s="6"/>
      <c r="AL230" s="6"/>
      <c r="AM230" s="6"/>
      <c r="AN230" s="6"/>
      <c r="AO230" s="6"/>
      <c r="AP230" s="3"/>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row>
    <row r="231" spans="1:80" x14ac:dyDescent="0.2">
      <c r="A231" s="7"/>
      <c r="B231" s="7"/>
      <c r="C231" s="7"/>
      <c r="D231" s="7"/>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6"/>
      <c r="AJ231" s="6"/>
      <c r="AK231" s="6"/>
      <c r="AL231" s="6"/>
      <c r="AM231" s="6"/>
      <c r="AN231" s="6"/>
      <c r="AO231" s="6"/>
      <c r="AP231" s="3"/>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row>
    <row r="232" spans="1:80" x14ac:dyDescent="0.2">
      <c r="A232" s="7"/>
      <c r="B232" s="7"/>
      <c r="C232" s="7"/>
      <c r="D232" s="7"/>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6"/>
      <c r="AJ232" s="6"/>
      <c r="AK232" s="6"/>
      <c r="AL232" s="6"/>
      <c r="AM232" s="6"/>
      <c r="AN232" s="6"/>
      <c r="AO232" s="6"/>
      <c r="AP232" s="3"/>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row>
    <row r="233" spans="1:80" x14ac:dyDescent="0.2">
      <c r="A233" s="7"/>
      <c r="B233" s="7"/>
      <c r="C233" s="7"/>
      <c r="D233" s="7"/>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6"/>
      <c r="AJ233" s="6"/>
      <c r="AK233" s="6"/>
      <c r="AL233" s="6"/>
      <c r="AM233" s="6"/>
      <c r="AN233" s="6"/>
      <c r="AO233" s="6"/>
      <c r="AP233" s="3"/>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row>
    <row r="234" spans="1:80" x14ac:dyDescent="0.2">
      <c r="A234" s="7"/>
      <c r="B234" s="7"/>
      <c r="C234" s="7"/>
      <c r="D234" s="7"/>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6"/>
      <c r="AJ234" s="6"/>
      <c r="AK234" s="6"/>
      <c r="AL234" s="6"/>
      <c r="AM234" s="6"/>
      <c r="AN234" s="6"/>
      <c r="AO234" s="6"/>
      <c r="AP234" s="3"/>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row>
    <row r="235" spans="1:80" x14ac:dyDescent="0.2">
      <c r="A235" s="7"/>
      <c r="B235" s="7"/>
      <c r="C235" s="7"/>
      <c r="D235" s="7"/>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6"/>
      <c r="AJ235" s="6"/>
      <c r="AK235" s="6"/>
      <c r="AL235" s="6"/>
      <c r="AM235" s="6"/>
      <c r="AN235" s="6"/>
      <c r="AO235" s="6"/>
      <c r="AP235" s="3"/>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row>
    <row r="236" spans="1:80" x14ac:dyDescent="0.2">
      <c r="A236" s="7"/>
      <c r="B236" s="7"/>
      <c r="C236" s="7"/>
      <c r="D236" s="7"/>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6"/>
      <c r="AJ236" s="6"/>
      <c r="AK236" s="6"/>
      <c r="AL236" s="6"/>
      <c r="AM236" s="6"/>
      <c r="AN236" s="6"/>
      <c r="AO236" s="6"/>
      <c r="AP236" s="3"/>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row>
    <row r="237" spans="1:80" x14ac:dyDescent="0.2">
      <c r="A237" s="7"/>
      <c r="B237" s="7"/>
      <c r="C237" s="7"/>
      <c r="D237" s="7"/>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6"/>
      <c r="AJ237" s="6"/>
      <c r="AK237" s="6"/>
      <c r="AL237" s="6"/>
      <c r="AM237" s="6"/>
      <c r="AN237" s="6"/>
      <c r="AO237" s="6"/>
      <c r="AP237" s="3"/>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row>
    <row r="238" spans="1:80" x14ac:dyDescent="0.2">
      <c r="A238" s="7"/>
      <c r="B238" s="7"/>
      <c r="C238" s="7"/>
      <c r="D238" s="7"/>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6"/>
      <c r="AJ238" s="6"/>
      <c r="AK238" s="6"/>
      <c r="AL238" s="6"/>
      <c r="AM238" s="6"/>
      <c r="AN238" s="6"/>
      <c r="AO238" s="6"/>
      <c r="AP238" s="3"/>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row>
    <row r="239" spans="1:80" x14ac:dyDescent="0.2">
      <c r="A239" s="7"/>
      <c r="B239" s="7"/>
      <c r="C239" s="7"/>
      <c r="D239" s="7"/>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6"/>
      <c r="AJ239" s="6"/>
      <c r="AK239" s="6"/>
      <c r="AL239" s="6"/>
      <c r="AM239" s="6"/>
      <c r="AN239" s="6"/>
      <c r="AO239" s="6"/>
      <c r="AP239" s="3"/>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row>
    <row r="240" spans="1:80" x14ac:dyDescent="0.2">
      <c r="A240" s="7"/>
      <c r="B240" s="7"/>
      <c r="C240" s="7"/>
      <c r="D240" s="7"/>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6"/>
      <c r="AJ240" s="6"/>
      <c r="AK240" s="6"/>
      <c r="AL240" s="6"/>
      <c r="AM240" s="6"/>
      <c r="AN240" s="6"/>
      <c r="AO240" s="6"/>
      <c r="AP240" s="3"/>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row>
    <row r="241" spans="1:80" x14ac:dyDescent="0.2">
      <c r="A241" s="7"/>
      <c r="B241" s="7"/>
      <c r="C241" s="7"/>
      <c r="D241" s="7"/>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6"/>
      <c r="AJ241" s="6"/>
      <c r="AK241" s="6"/>
      <c r="AL241" s="6"/>
      <c r="AM241" s="6"/>
      <c r="AN241" s="6"/>
      <c r="AO241" s="6"/>
      <c r="AP241" s="3"/>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row>
    <row r="242" spans="1:80" x14ac:dyDescent="0.2">
      <c r="A242" s="7"/>
      <c r="B242" s="7"/>
      <c r="C242" s="7"/>
      <c r="D242" s="7"/>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6"/>
      <c r="AJ242" s="6"/>
      <c r="AK242" s="6"/>
      <c r="AL242" s="6"/>
      <c r="AM242" s="6"/>
      <c r="AN242" s="6"/>
      <c r="AO242" s="6"/>
      <c r="AP242" s="3"/>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row>
    <row r="243" spans="1:80" x14ac:dyDescent="0.2">
      <c r="A243" s="7"/>
      <c r="B243" s="7"/>
      <c r="C243" s="7"/>
      <c r="D243" s="7"/>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6"/>
      <c r="AJ243" s="6"/>
      <c r="AK243" s="6"/>
      <c r="AL243" s="6"/>
      <c r="AM243" s="6"/>
      <c r="AN243" s="6"/>
      <c r="AO243" s="6"/>
      <c r="AP243" s="3"/>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row>
    <row r="244" spans="1:80" x14ac:dyDescent="0.2">
      <c r="A244" s="7"/>
      <c r="B244" s="7"/>
      <c r="C244" s="7"/>
      <c r="D244" s="7"/>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6"/>
      <c r="AJ244" s="6"/>
      <c r="AK244" s="6"/>
      <c r="AL244" s="6"/>
      <c r="AM244" s="6"/>
      <c r="AN244" s="6"/>
      <c r="AO244" s="6"/>
      <c r="AP244" s="3"/>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row>
    <row r="245" spans="1:80" x14ac:dyDescent="0.2">
      <c r="A245" s="7"/>
      <c r="B245" s="7"/>
      <c r="C245" s="7"/>
      <c r="D245" s="7"/>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6"/>
      <c r="AJ245" s="6"/>
      <c r="AK245" s="6"/>
      <c r="AL245" s="6"/>
      <c r="AM245" s="6"/>
      <c r="AN245" s="6"/>
      <c r="AO245" s="6"/>
      <c r="AP245" s="3"/>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row>
    <row r="246" spans="1:80" x14ac:dyDescent="0.2">
      <c r="A246" s="7"/>
      <c r="B246" s="7"/>
      <c r="C246" s="7"/>
      <c r="D246" s="7"/>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6"/>
      <c r="AJ246" s="6"/>
      <c r="AK246" s="6"/>
      <c r="AL246" s="6"/>
      <c r="AM246" s="6"/>
      <c r="AN246" s="6"/>
      <c r="AO246" s="6"/>
      <c r="AP246" s="3"/>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row>
    <row r="247" spans="1:80" x14ac:dyDescent="0.2">
      <c r="A247" s="7"/>
      <c r="B247" s="7"/>
      <c r="C247" s="7"/>
      <c r="D247" s="7"/>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6"/>
      <c r="AJ247" s="6"/>
      <c r="AK247" s="6"/>
      <c r="AL247" s="6"/>
      <c r="AM247" s="6"/>
      <c r="AN247" s="6"/>
      <c r="AO247" s="6"/>
      <c r="AP247" s="3"/>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row>
    <row r="248" spans="1:80" x14ac:dyDescent="0.2">
      <c r="A248" s="7"/>
      <c r="B248" s="7"/>
      <c r="C248" s="7"/>
      <c r="D248" s="7"/>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6"/>
      <c r="AJ248" s="6"/>
      <c r="AK248" s="6"/>
      <c r="AL248" s="6"/>
      <c r="AM248" s="6"/>
      <c r="AN248" s="6"/>
      <c r="AO248" s="6"/>
      <c r="AP248" s="3"/>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row>
    <row r="249" spans="1:80" x14ac:dyDescent="0.2">
      <c r="A249" s="7"/>
      <c r="B249" s="7"/>
      <c r="C249" s="7"/>
      <c r="D249" s="7"/>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6"/>
      <c r="AJ249" s="6"/>
      <c r="AK249" s="6"/>
      <c r="AL249" s="6"/>
      <c r="AM249" s="6"/>
      <c r="AN249" s="6"/>
      <c r="AO249" s="6"/>
      <c r="AP249" s="3"/>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row>
    <row r="250" spans="1:80" x14ac:dyDescent="0.2">
      <c r="A250" s="7"/>
      <c r="B250" s="7"/>
      <c r="C250" s="7"/>
      <c r="D250" s="7"/>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6"/>
      <c r="AJ250" s="6"/>
      <c r="AK250" s="6"/>
      <c r="AL250" s="6"/>
      <c r="AM250" s="6"/>
      <c r="AN250" s="6"/>
      <c r="AO250" s="6"/>
      <c r="AP250" s="3"/>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row>
    <row r="251" spans="1:80" x14ac:dyDescent="0.2">
      <c r="A251" s="7"/>
      <c r="B251" s="7"/>
      <c r="C251" s="7"/>
      <c r="D251" s="7"/>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6"/>
      <c r="AJ251" s="6"/>
      <c r="AK251" s="6"/>
      <c r="AL251" s="6"/>
      <c r="AM251" s="6"/>
      <c r="AN251" s="6"/>
      <c r="AO251" s="6"/>
      <c r="AP251" s="3"/>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row>
    <row r="252" spans="1:80" x14ac:dyDescent="0.2">
      <c r="A252" s="7"/>
      <c r="B252" s="7"/>
      <c r="C252" s="7"/>
      <c r="D252" s="7"/>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6"/>
      <c r="AJ252" s="6"/>
      <c r="AK252" s="6"/>
      <c r="AL252" s="6"/>
      <c r="AM252" s="6"/>
      <c r="AN252" s="6"/>
      <c r="AO252" s="6"/>
      <c r="AP252" s="3"/>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row>
    <row r="253" spans="1:80" x14ac:dyDescent="0.2">
      <c r="A253" s="7"/>
      <c r="B253" s="7"/>
      <c r="C253" s="7"/>
      <c r="D253" s="7"/>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6"/>
      <c r="AJ253" s="6"/>
      <c r="AK253" s="6"/>
      <c r="AL253" s="6"/>
      <c r="AM253" s="6"/>
      <c r="AN253" s="6"/>
      <c r="AO253" s="6"/>
      <c r="AP253" s="3"/>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row>
    <row r="254" spans="1:80" x14ac:dyDescent="0.2">
      <c r="A254" s="7"/>
      <c r="B254" s="7"/>
      <c r="C254" s="7"/>
      <c r="D254" s="7"/>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6"/>
      <c r="AJ254" s="6"/>
      <c r="AK254" s="6"/>
      <c r="AL254" s="6"/>
      <c r="AM254" s="6"/>
      <c r="AN254" s="6"/>
      <c r="AO254" s="6"/>
      <c r="AP254" s="3"/>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row>
    <row r="255" spans="1:80" x14ac:dyDescent="0.2">
      <c r="A255" s="7"/>
      <c r="B255" s="7"/>
      <c r="C255" s="7"/>
      <c r="D255" s="7"/>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6"/>
      <c r="AJ255" s="6"/>
      <c r="AK255" s="6"/>
      <c r="AL255" s="6"/>
      <c r="AM255" s="6"/>
      <c r="AN255" s="6"/>
      <c r="AO255" s="6"/>
      <c r="AP255" s="3"/>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row>
    <row r="256" spans="1:80" x14ac:dyDescent="0.2">
      <c r="A256" s="7"/>
      <c r="B256" s="7"/>
      <c r="C256" s="7"/>
      <c r="D256" s="7"/>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6"/>
      <c r="AJ256" s="6"/>
      <c r="AK256" s="6"/>
      <c r="AL256" s="6"/>
      <c r="AM256" s="6"/>
      <c r="AN256" s="6"/>
      <c r="AO256" s="6"/>
      <c r="AP256" s="3"/>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row>
    <row r="257" spans="1:80" x14ac:dyDescent="0.2">
      <c r="A257" s="7"/>
      <c r="B257" s="7"/>
      <c r="C257" s="7"/>
      <c r="D257" s="7"/>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6"/>
      <c r="AJ257" s="6"/>
      <c r="AK257" s="6"/>
      <c r="AL257" s="6"/>
      <c r="AM257" s="6"/>
      <c r="AN257" s="6"/>
      <c r="AO257" s="6"/>
      <c r="AP257" s="3"/>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row>
    <row r="258" spans="1:80" x14ac:dyDescent="0.2">
      <c r="A258" s="7"/>
      <c r="B258" s="7"/>
      <c r="C258" s="7"/>
      <c r="D258" s="7"/>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6"/>
      <c r="AJ258" s="6"/>
      <c r="AK258" s="6"/>
      <c r="AL258" s="6"/>
      <c r="AM258" s="6"/>
      <c r="AN258" s="6"/>
      <c r="AO258" s="6"/>
      <c r="AP258" s="3"/>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row>
    <row r="259" spans="1:80" x14ac:dyDescent="0.2">
      <c r="A259" s="7"/>
      <c r="B259" s="7"/>
      <c r="C259" s="7"/>
      <c r="D259" s="7"/>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6"/>
      <c r="AJ259" s="6"/>
      <c r="AK259" s="6"/>
      <c r="AL259" s="6"/>
      <c r="AM259" s="6"/>
      <c r="AN259" s="6"/>
      <c r="AO259" s="6"/>
      <c r="AP259" s="3"/>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row>
    <row r="260" spans="1:80" x14ac:dyDescent="0.2">
      <c r="A260" s="7"/>
      <c r="B260" s="7"/>
      <c r="C260" s="7"/>
      <c r="D260" s="7"/>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6"/>
      <c r="AJ260" s="6"/>
      <c r="AK260" s="6"/>
      <c r="AL260" s="6"/>
      <c r="AM260" s="6"/>
      <c r="AN260" s="6"/>
      <c r="AO260" s="6"/>
      <c r="AP260" s="3"/>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row>
    <row r="261" spans="1:80" x14ac:dyDescent="0.2">
      <c r="A261" s="7"/>
      <c r="B261" s="7"/>
      <c r="C261" s="7"/>
      <c r="D261" s="7"/>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6"/>
      <c r="AJ261" s="6"/>
      <c r="AK261" s="6"/>
      <c r="AL261" s="6"/>
      <c r="AM261" s="6"/>
      <c r="AN261" s="6"/>
      <c r="AO261" s="6"/>
      <c r="AP261" s="3"/>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row>
    <row r="262" spans="1:80" x14ac:dyDescent="0.2">
      <c r="A262" s="7"/>
      <c r="B262" s="7"/>
      <c r="C262" s="7"/>
      <c r="D262" s="7"/>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6"/>
      <c r="AJ262" s="6"/>
      <c r="AK262" s="6"/>
      <c r="AL262" s="6"/>
      <c r="AM262" s="6"/>
      <c r="AN262" s="6"/>
      <c r="AO262" s="6"/>
      <c r="AP262" s="3"/>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row>
    <row r="263" spans="1:80" x14ac:dyDescent="0.2">
      <c r="A263" s="7"/>
      <c r="B263" s="7"/>
      <c r="C263" s="7"/>
      <c r="D263" s="7"/>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6"/>
      <c r="AJ263" s="6"/>
      <c r="AK263" s="6"/>
      <c r="AL263" s="6"/>
      <c r="AM263" s="6"/>
      <c r="AN263" s="6"/>
      <c r="AO263" s="6"/>
      <c r="AP263" s="3"/>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row>
    <row r="264" spans="1:80" x14ac:dyDescent="0.2">
      <c r="A264" s="7"/>
      <c r="B264" s="7"/>
      <c r="C264" s="7"/>
      <c r="D264" s="7"/>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6"/>
      <c r="AJ264" s="6"/>
      <c r="AK264" s="6"/>
      <c r="AL264" s="6"/>
      <c r="AM264" s="6"/>
      <c r="AN264" s="6"/>
      <c r="AO264" s="6"/>
      <c r="AP264" s="3"/>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row>
    <row r="265" spans="1:80" x14ac:dyDescent="0.2">
      <c r="A265" s="7"/>
      <c r="B265" s="7"/>
      <c r="C265" s="7"/>
      <c r="D265" s="7"/>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6"/>
      <c r="AJ265" s="6"/>
      <c r="AK265" s="6"/>
      <c r="AL265" s="6"/>
      <c r="AM265" s="6"/>
      <c r="AN265" s="6"/>
      <c r="AO265" s="6"/>
      <c r="AP265" s="3"/>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row>
    <row r="266" spans="1:80" x14ac:dyDescent="0.2">
      <c r="A266" s="7"/>
      <c r="B266" s="7"/>
      <c r="C266" s="7"/>
      <c r="D266" s="7"/>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6"/>
      <c r="AJ266" s="6"/>
      <c r="AK266" s="6"/>
      <c r="AL266" s="6"/>
      <c r="AM266" s="6"/>
      <c r="AN266" s="6"/>
      <c r="AO266" s="6"/>
      <c r="AP266" s="3"/>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row>
    <row r="267" spans="1:80" x14ac:dyDescent="0.2">
      <c r="A267" s="7"/>
      <c r="B267" s="7"/>
      <c r="C267" s="7"/>
      <c r="D267" s="7"/>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6"/>
      <c r="AJ267" s="6"/>
      <c r="AK267" s="6"/>
      <c r="AL267" s="6"/>
      <c r="AM267" s="6"/>
      <c r="AN267" s="6"/>
      <c r="AO267" s="6"/>
      <c r="AP267" s="3"/>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row>
    <row r="268" spans="1:80" x14ac:dyDescent="0.2">
      <c r="A268" s="7"/>
      <c r="B268" s="7"/>
      <c r="C268" s="7"/>
      <c r="D268" s="7"/>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6"/>
      <c r="AJ268" s="6"/>
      <c r="AK268" s="6"/>
      <c r="AL268" s="6"/>
      <c r="AM268" s="6"/>
      <c r="AN268" s="6"/>
      <c r="AO268" s="6"/>
      <c r="AP268" s="3"/>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row>
    <row r="269" spans="1:80" x14ac:dyDescent="0.2">
      <c r="A269" s="7"/>
      <c r="B269" s="7"/>
      <c r="C269" s="7"/>
      <c r="D269" s="7"/>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6"/>
      <c r="AJ269" s="6"/>
      <c r="AK269" s="6"/>
      <c r="AL269" s="6"/>
      <c r="AM269" s="6"/>
      <c r="AN269" s="6"/>
      <c r="AO269" s="6"/>
      <c r="AP269" s="3"/>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row>
    <row r="270" spans="1:80" x14ac:dyDescent="0.2">
      <c r="A270" s="7"/>
      <c r="B270" s="7"/>
      <c r="C270" s="7"/>
      <c r="D270" s="7"/>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6"/>
      <c r="AJ270" s="6"/>
      <c r="AK270" s="6"/>
      <c r="AL270" s="6"/>
      <c r="AM270" s="6"/>
      <c r="AN270" s="6"/>
      <c r="AO270" s="6"/>
      <c r="AP270" s="3"/>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row>
    <row r="271" spans="1:80" x14ac:dyDescent="0.2">
      <c r="A271" s="7"/>
      <c r="B271" s="7"/>
      <c r="C271" s="7"/>
      <c r="D271" s="7"/>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6"/>
      <c r="AJ271" s="6"/>
      <c r="AK271" s="6"/>
      <c r="AL271" s="6"/>
      <c r="AM271" s="6"/>
      <c r="AN271" s="6"/>
      <c r="AO271" s="6"/>
      <c r="AP271" s="3"/>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row>
    <row r="272" spans="1:80" x14ac:dyDescent="0.2">
      <c r="A272" s="7"/>
      <c r="B272" s="7"/>
      <c r="C272" s="7"/>
      <c r="D272" s="7"/>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6"/>
      <c r="AJ272" s="6"/>
      <c r="AK272" s="6"/>
      <c r="AL272" s="6"/>
      <c r="AM272" s="6"/>
      <c r="AN272" s="6"/>
      <c r="AO272" s="6"/>
      <c r="AP272" s="3"/>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row>
    <row r="273" spans="1:80" x14ac:dyDescent="0.2">
      <c r="A273" s="7"/>
      <c r="B273" s="7"/>
      <c r="C273" s="7"/>
      <c r="D273" s="7"/>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6"/>
      <c r="AJ273" s="6"/>
      <c r="AK273" s="6"/>
      <c r="AL273" s="6"/>
      <c r="AM273" s="6"/>
      <c r="AN273" s="6"/>
      <c r="AO273" s="6"/>
      <c r="AP273" s="3"/>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row>
    <row r="274" spans="1:80" x14ac:dyDescent="0.2">
      <c r="A274" s="7"/>
      <c r="B274" s="7"/>
      <c r="C274" s="7"/>
      <c r="D274" s="7"/>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6"/>
      <c r="AJ274" s="6"/>
      <c r="AK274" s="6"/>
      <c r="AL274" s="6"/>
      <c r="AM274" s="6"/>
      <c r="AN274" s="6"/>
      <c r="AO274" s="6"/>
      <c r="AP274" s="3"/>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row>
    <row r="275" spans="1:80" x14ac:dyDescent="0.2">
      <c r="A275" s="7"/>
      <c r="B275" s="7"/>
      <c r="C275" s="7"/>
      <c r="D275" s="7"/>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6"/>
      <c r="AJ275" s="6"/>
      <c r="AK275" s="6"/>
      <c r="AL275" s="6"/>
      <c r="AM275" s="6"/>
      <c r="AN275" s="6"/>
      <c r="AO275" s="6"/>
      <c r="AP275" s="3"/>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row>
    <row r="276" spans="1:80" x14ac:dyDescent="0.2">
      <c r="A276" s="7"/>
      <c r="B276" s="7"/>
      <c r="C276" s="7"/>
      <c r="D276" s="7"/>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6"/>
      <c r="AJ276" s="6"/>
      <c r="AK276" s="6"/>
      <c r="AL276" s="6"/>
      <c r="AM276" s="6"/>
      <c r="AN276" s="6"/>
      <c r="AO276" s="6"/>
      <c r="AP276" s="3"/>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row>
    <row r="277" spans="1:80" x14ac:dyDescent="0.2">
      <c r="A277" s="7"/>
      <c r="B277" s="7"/>
      <c r="C277" s="7"/>
      <c r="D277" s="7"/>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6"/>
      <c r="AJ277" s="6"/>
      <c r="AK277" s="6"/>
      <c r="AL277" s="6"/>
      <c r="AM277" s="6"/>
      <c r="AN277" s="6"/>
      <c r="AO277" s="6"/>
      <c r="AP277" s="3"/>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row>
    <row r="278" spans="1:80" x14ac:dyDescent="0.2">
      <c r="A278" s="7"/>
      <c r="B278" s="7"/>
      <c r="C278" s="7"/>
      <c r="D278" s="7"/>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6"/>
      <c r="AJ278" s="6"/>
      <c r="AK278" s="6"/>
      <c r="AL278" s="6"/>
      <c r="AM278" s="6"/>
      <c r="AN278" s="6"/>
      <c r="AO278" s="6"/>
      <c r="AP278" s="3"/>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row>
    <row r="279" spans="1:80" x14ac:dyDescent="0.2">
      <c r="A279" s="7"/>
      <c r="B279" s="7"/>
      <c r="C279" s="7"/>
      <c r="D279" s="7"/>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6"/>
      <c r="AJ279" s="6"/>
      <c r="AK279" s="6"/>
      <c r="AL279" s="6"/>
      <c r="AM279" s="6"/>
      <c r="AN279" s="6"/>
      <c r="AO279" s="6"/>
      <c r="AP279" s="3"/>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row>
    <row r="280" spans="1:80" x14ac:dyDescent="0.2">
      <c r="A280" s="7"/>
      <c r="B280" s="7"/>
      <c r="C280" s="7"/>
      <c r="D280" s="7"/>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6"/>
      <c r="AJ280" s="6"/>
      <c r="AK280" s="6"/>
      <c r="AL280" s="6"/>
      <c r="AM280" s="6"/>
      <c r="AN280" s="6"/>
      <c r="AO280" s="6"/>
      <c r="AP280" s="3"/>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row>
    <row r="281" spans="1:80" x14ac:dyDescent="0.2">
      <c r="A281" s="7"/>
      <c r="B281" s="7"/>
      <c r="C281" s="7"/>
      <c r="D281" s="7"/>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6"/>
      <c r="AJ281" s="6"/>
      <c r="AK281" s="6"/>
      <c r="AL281" s="6"/>
      <c r="AM281" s="6"/>
      <c r="AN281" s="6"/>
      <c r="AO281" s="6"/>
      <c r="AP281" s="3"/>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row>
    <row r="282" spans="1:80" x14ac:dyDescent="0.2">
      <c r="A282" s="7"/>
      <c r="B282" s="7"/>
      <c r="C282" s="7"/>
      <c r="D282" s="7"/>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6"/>
      <c r="AJ282" s="6"/>
      <c r="AK282" s="6"/>
      <c r="AL282" s="6"/>
      <c r="AM282" s="6"/>
      <c r="AN282" s="6"/>
      <c r="AO282" s="6"/>
      <c r="AP282" s="3"/>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row>
    <row r="283" spans="1:80" x14ac:dyDescent="0.2">
      <c r="A283" s="7"/>
      <c r="B283" s="7"/>
      <c r="C283" s="7"/>
      <c r="D283" s="7"/>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6"/>
      <c r="AJ283" s="6"/>
      <c r="AK283" s="6"/>
      <c r="AL283" s="6"/>
      <c r="AM283" s="6"/>
      <c r="AN283" s="6"/>
      <c r="AO283" s="6"/>
      <c r="AP283" s="3"/>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row>
    <row r="284" spans="1:80" x14ac:dyDescent="0.2">
      <c r="A284" s="7"/>
      <c r="B284" s="7"/>
      <c r="C284" s="7"/>
      <c r="D284" s="7"/>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6"/>
      <c r="AJ284" s="6"/>
      <c r="AK284" s="6"/>
      <c r="AL284" s="6"/>
      <c r="AM284" s="6"/>
      <c r="AN284" s="6"/>
      <c r="AO284" s="6"/>
      <c r="AP284" s="3"/>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row>
    <row r="285" spans="1:80" x14ac:dyDescent="0.2">
      <c r="A285" s="7"/>
      <c r="B285" s="7"/>
      <c r="C285" s="7"/>
      <c r="D285" s="7"/>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6"/>
      <c r="AJ285" s="6"/>
      <c r="AK285" s="6"/>
      <c r="AL285" s="6"/>
      <c r="AM285" s="6"/>
      <c r="AN285" s="6"/>
      <c r="AO285" s="6"/>
      <c r="AP285" s="3"/>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row>
    <row r="286" spans="1:80" x14ac:dyDescent="0.2">
      <c r="A286" s="7"/>
      <c r="B286" s="7"/>
      <c r="C286" s="7"/>
      <c r="D286" s="7"/>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6"/>
      <c r="AJ286" s="6"/>
      <c r="AK286" s="6"/>
      <c r="AL286" s="6"/>
      <c r="AM286" s="6"/>
      <c r="AN286" s="6"/>
      <c r="AO286" s="6"/>
      <c r="AP286" s="3"/>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row>
    <row r="287" spans="1:80" x14ac:dyDescent="0.2">
      <c r="A287" s="7"/>
      <c r="B287" s="7"/>
      <c r="C287" s="7"/>
      <c r="D287" s="7"/>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6"/>
      <c r="AJ287" s="6"/>
      <c r="AK287" s="6"/>
      <c r="AL287" s="6"/>
      <c r="AM287" s="6"/>
      <c r="AN287" s="6"/>
      <c r="AO287" s="6"/>
      <c r="AP287" s="3"/>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row>
    <row r="288" spans="1:80" x14ac:dyDescent="0.2">
      <c r="A288" s="7"/>
      <c r="B288" s="7"/>
      <c r="C288" s="7"/>
      <c r="D288" s="7"/>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6"/>
      <c r="AJ288" s="6"/>
      <c r="AK288" s="6"/>
      <c r="AL288" s="6"/>
      <c r="AM288" s="6"/>
      <c r="AN288" s="6"/>
      <c r="AO288" s="6"/>
      <c r="AP288" s="3"/>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row>
    <row r="289" spans="1:80" x14ac:dyDescent="0.2">
      <c r="A289" s="7"/>
      <c r="B289" s="7"/>
      <c r="C289" s="7"/>
      <c r="D289" s="7"/>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6"/>
      <c r="AJ289" s="6"/>
      <c r="AK289" s="6"/>
      <c r="AL289" s="6"/>
      <c r="AM289" s="6"/>
      <c r="AN289" s="6"/>
      <c r="AO289" s="6"/>
      <c r="AP289" s="3"/>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row>
    <row r="290" spans="1:80" x14ac:dyDescent="0.2">
      <c r="A290" s="7"/>
      <c r="B290" s="7"/>
      <c r="C290" s="7"/>
      <c r="D290" s="7"/>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6"/>
      <c r="AJ290" s="6"/>
      <c r="AK290" s="6"/>
      <c r="AL290" s="6"/>
      <c r="AM290" s="6"/>
      <c r="AN290" s="6"/>
      <c r="AO290" s="6"/>
      <c r="AP290" s="3"/>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row>
    <row r="291" spans="1:80" x14ac:dyDescent="0.2">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6"/>
      <c r="AJ291" s="6"/>
      <c r="AK291" s="6"/>
      <c r="AL291" s="6"/>
      <c r="AM291" s="6"/>
      <c r="AN291" s="6"/>
      <c r="AO291" s="6"/>
      <c r="AP291" s="3"/>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row>
    <row r="292" spans="1:80" x14ac:dyDescent="0.2">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6"/>
      <c r="AJ292" s="6"/>
      <c r="AK292" s="6"/>
      <c r="AL292" s="6"/>
      <c r="AM292" s="6"/>
      <c r="AN292" s="6"/>
      <c r="AO292" s="6"/>
      <c r="AP292" s="3"/>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row>
    <row r="293" spans="1:80" x14ac:dyDescent="0.2">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6"/>
      <c r="AJ293" s="6"/>
      <c r="AK293" s="6"/>
      <c r="AL293" s="6"/>
      <c r="AM293" s="6"/>
      <c r="AN293" s="6"/>
      <c r="AO293" s="6"/>
      <c r="AP293" s="3"/>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row>
    <row r="294" spans="1:80" x14ac:dyDescent="0.2">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6"/>
      <c r="AJ294" s="6"/>
      <c r="AK294" s="6"/>
      <c r="AL294" s="6"/>
      <c r="AM294" s="6"/>
      <c r="AN294" s="6"/>
      <c r="AO294" s="6"/>
      <c r="AP294" s="3"/>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row>
    <row r="295" spans="1:80" x14ac:dyDescent="0.2">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6"/>
      <c r="AJ295" s="6"/>
      <c r="AK295" s="6"/>
      <c r="AL295" s="6"/>
      <c r="AM295" s="6"/>
      <c r="AN295" s="6"/>
      <c r="AO295" s="6"/>
      <c r="AP295" s="3"/>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row>
    <row r="296" spans="1:80" x14ac:dyDescent="0.2">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6"/>
      <c r="AJ296" s="6"/>
      <c r="AK296" s="6"/>
      <c r="AL296" s="6"/>
      <c r="AM296" s="6"/>
      <c r="AN296" s="6"/>
      <c r="AO296" s="6"/>
      <c r="AP296" s="3"/>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row>
    <row r="297" spans="1:80" x14ac:dyDescent="0.2">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6"/>
      <c r="AJ297" s="6"/>
      <c r="AK297" s="6"/>
      <c r="AL297" s="6"/>
      <c r="AM297" s="6"/>
      <c r="AN297" s="6"/>
      <c r="AO297" s="6"/>
      <c r="AP297" s="3"/>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row>
    <row r="298" spans="1:80" x14ac:dyDescent="0.2">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6"/>
      <c r="AJ298" s="6"/>
      <c r="AK298" s="6"/>
      <c r="AL298" s="6"/>
      <c r="AM298" s="6"/>
      <c r="AN298" s="6"/>
      <c r="AO298" s="6"/>
      <c r="AP298" s="3"/>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row>
    <row r="299" spans="1:80" x14ac:dyDescent="0.2">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6"/>
      <c r="AJ299" s="6"/>
      <c r="AK299" s="6"/>
      <c r="AL299" s="6"/>
      <c r="AM299" s="6"/>
      <c r="AN299" s="6"/>
      <c r="AO299" s="6"/>
      <c r="AP299" s="3"/>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row>
    <row r="300" spans="1:80" x14ac:dyDescent="0.2">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6"/>
      <c r="AJ300" s="6"/>
      <c r="AK300" s="6"/>
      <c r="AL300" s="6"/>
      <c r="AM300" s="6"/>
      <c r="AN300" s="6"/>
      <c r="AO300" s="6"/>
      <c r="AP300" s="3"/>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row>
    <row r="301" spans="1:80" x14ac:dyDescent="0.2">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6"/>
      <c r="AJ301" s="6"/>
      <c r="AK301" s="6"/>
      <c r="AL301" s="6"/>
      <c r="AM301" s="6"/>
      <c r="AN301" s="6"/>
      <c r="AO301" s="6"/>
      <c r="AP301" s="3"/>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row>
    <row r="302" spans="1:80" x14ac:dyDescent="0.2">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6"/>
      <c r="AJ302" s="6"/>
      <c r="AK302" s="6"/>
      <c r="AL302" s="6"/>
      <c r="AM302" s="6"/>
      <c r="AN302" s="6"/>
      <c r="AO302" s="6"/>
      <c r="AP302" s="3"/>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row>
    <row r="303" spans="1:80" x14ac:dyDescent="0.2">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6"/>
      <c r="AJ303" s="6"/>
      <c r="AK303" s="6"/>
      <c r="AL303" s="6"/>
      <c r="AM303" s="6"/>
      <c r="AN303" s="6"/>
      <c r="AO303" s="6"/>
      <c r="AP303" s="3"/>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row>
    <row r="304" spans="1:80" x14ac:dyDescent="0.2">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6"/>
      <c r="AJ304" s="6"/>
      <c r="AK304" s="6"/>
      <c r="AL304" s="6"/>
      <c r="AM304" s="6"/>
      <c r="AN304" s="6"/>
      <c r="AO304" s="6"/>
      <c r="AP304" s="3"/>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row>
    <row r="305" spans="1:80" x14ac:dyDescent="0.2">
      <c r="A305" s="2"/>
      <c r="B305" s="2"/>
      <c r="C305" s="2"/>
      <c r="D305" s="2"/>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6"/>
      <c r="AJ305" s="6"/>
      <c r="AK305" s="6"/>
      <c r="AL305" s="6"/>
      <c r="AM305" s="6"/>
      <c r="AN305" s="6"/>
      <c r="AO305" s="6"/>
      <c r="AP305" s="3"/>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row>
    <row r="306" spans="1:80" x14ac:dyDescent="0.2">
      <c r="A306" s="2"/>
      <c r="B306" s="2"/>
      <c r="C306" s="2"/>
      <c r="D306" s="2"/>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6"/>
      <c r="AJ306" s="6"/>
      <c r="AK306" s="6"/>
      <c r="AL306" s="6"/>
      <c r="AM306" s="6"/>
      <c r="AN306" s="6"/>
      <c r="AO306" s="6"/>
      <c r="AP306" s="3"/>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row>
    <row r="307" spans="1:80" x14ac:dyDescent="0.2">
      <c r="A307" s="2"/>
      <c r="B307" s="2"/>
      <c r="C307" s="2"/>
      <c r="D307" s="2"/>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6"/>
      <c r="AJ307" s="6"/>
      <c r="AK307" s="6"/>
      <c r="AL307" s="6"/>
      <c r="AM307" s="6"/>
      <c r="AN307" s="6"/>
      <c r="AO307" s="6"/>
      <c r="AP307" s="3"/>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row>
    <row r="308" spans="1:80" x14ac:dyDescent="0.2">
      <c r="A308" s="2"/>
      <c r="B308" s="2"/>
      <c r="C308" s="2"/>
      <c r="D308" s="2"/>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6"/>
      <c r="AJ308" s="6"/>
      <c r="AK308" s="6"/>
      <c r="AL308" s="6"/>
      <c r="AM308" s="6"/>
      <c r="AN308" s="6"/>
      <c r="AO308" s="6"/>
      <c r="AP308" s="3"/>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row>
    <row r="309" spans="1:80" x14ac:dyDescent="0.2">
      <c r="A309" s="2"/>
      <c r="B309" s="2"/>
      <c r="C309" s="2"/>
      <c r="D309" s="2"/>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6"/>
      <c r="AJ309" s="6"/>
      <c r="AK309" s="6"/>
      <c r="AL309" s="6"/>
      <c r="AM309" s="6"/>
      <c r="AN309" s="6"/>
      <c r="AO309" s="6"/>
      <c r="AP309" s="3"/>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row>
    <row r="310" spans="1:80" x14ac:dyDescent="0.2">
      <c r="A310" s="2"/>
      <c r="B310" s="2"/>
      <c r="C310" s="2"/>
      <c r="D310" s="2"/>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6"/>
      <c r="AJ310" s="6"/>
      <c r="AK310" s="6"/>
      <c r="AL310" s="6"/>
      <c r="AM310" s="6"/>
      <c r="AN310" s="6"/>
      <c r="AO310" s="6"/>
      <c r="AP310" s="3"/>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row>
    <row r="311" spans="1:80" x14ac:dyDescent="0.2">
      <c r="A311" s="2"/>
      <c r="B311" s="2"/>
      <c r="C311" s="2"/>
      <c r="D311" s="2"/>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6"/>
      <c r="AJ311" s="6"/>
      <c r="AK311" s="6"/>
      <c r="AL311" s="6"/>
      <c r="AM311" s="6"/>
      <c r="AN311" s="6"/>
      <c r="AO311" s="6"/>
      <c r="AP311" s="3"/>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row>
    <row r="312" spans="1:80" x14ac:dyDescent="0.2">
      <c r="A312" s="2"/>
      <c r="B312" s="2"/>
      <c r="C312" s="2"/>
      <c r="D312" s="2"/>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6"/>
      <c r="AJ312" s="6"/>
      <c r="AK312" s="6"/>
      <c r="AL312" s="6"/>
      <c r="AM312" s="6"/>
      <c r="AN312" s="6"/>
      <c r="AO312" s="6"/>
      <c r="AP312" s="3"/>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row>
    <row r="313" spans="1:80" x14ac:dyDescent="0.2">
      <c r="A313" s="2"/>
      <c r="B313" s="2"/>
      <c r="C313" s="2"/>
      <c r="D313" s="2"/>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6"/>
      <c r="AJ313" s="6"/>
      <c r="AK313" s="6"/>
      <c r="AL313" s="6"/>
      <c r="AM313" s="6"/>
      <c r="AN313" s="6"/>
      <c r="AO313" s="6"/>
      <c r="AP313" s="3"/>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row>
    <row r="314" spans="1:80" x14ac:dyDescent="0.2">
      <c r="A314" s="2"/>
      <c r="B314" s="2"/>
      <c r="C314" s="2"/>
      <c r="D314" s="2"/>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6"/>
      <c r="AJ314" s="6"/>
      <c r="AK314" s="6"/>
      <c r="AL314" s="6"/>
      <c r="AM314" s="6"/>
      <c r="AN314" s="6"/>
      <c r="AO314" s="6"/>
      <c r="AP314" s="3"/>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row>
    <row r="315" spans="1:80" x14ac:dyDescent="0.2">
      <c r="A315" s="2"/>
      <c r="B315" s="2"/>
      <c r="C315" s="2"/>
      <c r="D315" s="2"/>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6"/>
      <c r="AJ315" s="6"/>
      <c r="AK315" s="6"/>
      <c r="AL315" s="6"/>
      <c r="AM315" s="6"/>
      <c r="AN315" s="6"/>
      <c r="AO315" s="6"/>
      <c r="AP315" s="3"/>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row>
    <row r="316" spans="1:80" x14ac:dyDescent="0.2">
      <c r="A316" s="2"/>
      <c r="B316" s="2"/>
      <c r="C316" s="2"/>
      <c r="D316" s="2"/>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6"/>
      <c r="AJ316" s="6"/>
      <c r="AK316" s="6"/>
      <c r="AL316" s="6"/>
      <c r="AM316" s="6"/>
      <c r="AN316" s="6"/>
      <c r="AO316" s="6"/>
      <c r="AP316" s="3"/>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row>
    <row r="317" spans="1:80" x14ac:dyDescent="0.2">
      <c r="A317" s="2"/>
      <c r="B317" s="2"/>
      <c r="C317" s="2"/>
      <c r="D317" s="2"/>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6"/>
      <c r="AJ317" s="6"/>
      <c r="AK317" s="6"/>
      <c r="AL317" s="6"/>
      <c r="AM317" s="6"/>
      <c r="AN317" s="6"/>
      <c r="AO317" s="6"/>
      <c r="AP317" s="3"/>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row>
    <row r="318" spans="1:80" x14ac:dyDescent="0.2">
      <c r="A318" s="2"/>
      <c r="B318" s="2"/>
      <c r="C318" s="2"/>
      <c r="D318" s="2"/>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6"/>
      <c r="AJ318" s="6"/>
      <c r="AK318" s="6"/>
      <c r="AL318" s="6"/>
      <c r="AM318" s="6"/>
      <c r="AN318" s="6"/>
      <c r="AO318" s="6"/>
      <c r="AP318" s="3"/>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row>
    <row r="319" spans="1:80" x14ac:dyDescent="0.2">
      <c r="A319" s="2"/>
      <c r="B319" s="2"/>
      <c r="C319" s="2"/>
      <c r="D319" s="2"/>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6"/>
      <c r="AJ319" s="6"/>
      <c r="AK319" s="6"/>
      <c r="AL319" s="6"/>
      <c r="AM319" s="6"/>
      <c r="AN319" s="6"/>
      <c r="AO319" s="6"/>
      <c r="AP319" s="3"/>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row>
    <row r="320" spans="1:80" x14ac:dyDescent="0.2">
      <c r="A320" s="2"/>
      <c r="B320" s="2"/>
      <c r="C320" s="2"/>
      <c r="D320" s="2"/>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6"/>
      <c r="AJ320" s="6"/>
      <c r="AK320" s="6"/>
      <c r="AL320" s="6"/>
      <c r="AM320" s="6"/>
      <c r="AN320" s="6"/>
      <c r="AO320" s="6"/>
      <c r="AP320" s="3"/>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row>
    <row r="321" spans="1:80" x14ac:dyDescent="0.2">
      <c r="A321" s="2"/>
      <c r="B321" s="2"/>
      <c r="C321" s="2"/>
      <c r="D321" s="2"/>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6"/>
      <c r="AJ321" s="6"/>
      <c r="AK321" s="6"/>
      <c r="AL321" s="6"/>
      <c r="AM321" s="6"/>
      <c r="AN321" s="6"/>
      <c r="AO321" s="6"/>
      <c r="AP321" s="3"/>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row>
    <row r="322" spans="1:80" x14ac:dyDescent="0.2">
      <c r="A322" s="2"/>
      <c r="B322" s="2"/>
      <c r="C322" s="2"/>
      <c r="D322" s="2"/>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6"/>
      <c r="AJ322" s="6"/>
      <c r="AK322" s="6"/>
      <c r="AL322" s="6"/>
      <c r="AM322" s="6"/>
      <c r="AN322" s="6"/>
      <c r="AO322" s="6"/>
      <c r="AP322" s="3"/>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row>
    <row r="323" spans="1:80" x14ac:dyDescent="0.2">
      <c r="A323" s="2"/>
      <c r="B323" s="2"/>
      <c r="C323" s="2"/>
      <c r="D323" s="2"/>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6"/>
      <c r="AJ323" s="6"/>
      <c r="AK323" s="6"/>
      <c r="AL323" s="6"/>
      <c r="AM323" s="6"/>
      <c r="AN323" s="6"/>
      <c r="AO323" s="6"/>
      <c r="AP323" s="3"/>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row>
    <row r="324" spans="1:80" x14ac:dyDescent="0.2">
      <c r="A324" s="2"/>
      <c r="B324" s="2"/>
      <c r="C324" s="2"/>
      <c r="D324" s="2"/>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6"/>
      <c r="AJ324" s="6"/>
      <c r="AK324" s="6"/>
      <c r="AL324" s="6"/>
      <c r="AM324" s="6"/>
      <c r="AN324" s="6"/>
      <c r="AO324" s="6"/>
      <c r="AP324" s="3"/>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row>
    <row r="325" spans="1:80" x14ac:dyDescent="0.2">
      <c r="A325" s="2"/>
      <c r="B325" s="2"/>
      <c r="C325" s="2"/>
      <c r="D325" s="2"/>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6"/>
      <c r="AJ325" s="6"/>
      <c r="AK325" s="6"/>
      <c r="AL325" s="6"/>
      <c r="AM325" s="6"/>
      <c r="AN325" s="6"/>
      <c r="AO325" s="6"/>
      <c r="AP325" s="3"/>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row>
    <row r="326" spans="1:80" x14ac:dyDescent="0.2">
      <c r="A326" s="2"/>
      <c r="B326" s="2"/>
      <c r="C326" s="2"/>
      <c r="D326" s="2"/>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6"/>
      <c r="AJ326" s="6"/>
      <c r="AK326" s="6"/>
      <c r="AL326" s="6"/>
      <c r="AM326" s="6"/>
      <c r="AN326" s="6"/>
      <c r="AO326" s="6"/>
      <c r="AP326" s="3"/>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row>
    <row r="327" spans="1:80" x14ac:dyDescent="0.2">
      <c r="A327" s="2"/>
      <c r="B327" s="2"/>
      <c r="C327" s="2"/>
      <c r="D327" s="2"/>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6"/>
      <c r="AJ327" s="6"/>
      <c r="AK327" s="6"/>
      <c r="AL327" s="6"/>
      <c r="AM327" s="6"/>
      <c r="AN327" s="6"/>
      <c r="AO327" s="6"/>
      <c r="AP327" s="3"/>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row>
    <row r="328" spans="1:80" x14ac:dyDescent="0.2">
      <c r="A328" s="2"/>
      <c r="B328" s="2"/>
      <c r="C328" s="2"/>
      <c r="D328" s="2"/>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6"/>
      <c r="AJ328" s="6"/>
      <c r="AK328" s="6"/>
      <c r="AL328" s="6"/>
      <c r="AM328" s="6"/>
      <c r="AN328" s="6"/>
      <c r="AO328" s="6"/>
      <c r="AP328" s="3"/>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row>
    <row r="329" spans="1:80" x14ac:dyDescent="0.2">
      <c r="A329" s="2"/>
      <c r="B329" s="2"/>
      <c r="C329" s="2"/>
      <c r="D329" s="2"/>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6"/>
      <c r="AJ329" s="6"/>
      <c r="AK329" s="6"/>
      <c r="AL329" s="6"/>
      <c r="AM329" s="6"/>
      <c r="AN329" s="6"/>
      <c r="AO329" s="6"/>
      <c r="AP329" s="3"/>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row>
    <row r="330" spans="1:80" x14ac:dyDescent="0.2">
      <c r="A330" s="2"/>
      <c r="B330" s="2"/>
      <c r="C330" s="2"/>
      <c r="D330" s="2"/>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6"/>
      <c r="AJ330" s="6"/>
      <c r="AK330" s="6"/>
      <c r="AL330" s="6"/>
      <c r="AM330" s="6"/>
      <c r="AN330" s="6"/>
      <c r="AO330" s="6"/>
      <c r="AP330" s="3"/>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row>
    <row r="331" spans="1:80" x14ac:dyDescent="0.2">
      <c r="A331" s="2"/>
      <c r="B331" s="2"/>
      <c r="C331" s="2"/>
      <c r="D331" s="2"/>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6"/>
      <c r="AJ331" s="6"/>
      <c r="AK331" s="6"/>
      <c r="AL331" s="6"/>
      <c r="AM331" s="6"/>
      <c r="AN331" s="6"/>
      <c r="AO331" s="6"/>
      <c r="AP331" s="3"/>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row>
    <row r="332" spans="1:80" x14ac:dyDescent="0.2">
      <c r="A332" s="2"/>
      <c r="B332" s="2"/>
      <c r="C332" s="2"/>
      <c r="D332" s="2"/>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6"/>
      <c r="AJ332" s="6"/>
      <c r="AK332" s="6"/>
      <c r="AL332" s="6"/>
      <c r="AM332" s="6"/>
      <c r="AN332" s="6"/>
      <c r="AO332" s="6"/>
      <c r="AP332" s="3"/>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row>
    <row r="333" spans="1:80" x14ac:dyDescent="0.2">
      <c r="A333" s="2"/>
      <c r="B333" s="2"/>
      <c r="C333" s="2"/>
      <c r="D333" s="2"/>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6"/>
      <c r="AJ333" s="6"/>
      <c r="AK333" s="6"/>
      <c r="AL333" s="6"/>
      <c r="AM333" s="6"/>
      <c r="AN333" s="6"/>
      <c r="AO333" s="6"/>
      <c r="AP333" s="3"/>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row>
    <row r="334" spans="1:80" x14ac:dyDescent="0.2">
      <c r="A334" s="2"/>
      <c r="B334" s="2"/>
      <c r="C334" s="2"/>
      <c r="D334" s="2"/>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6"/>
      <c r="AJ334" s="6"/>
      <c r="AK334" s="6"/>
      <c r="AL334" s="6"/>
      <c r="AM334" s="6"/>
      <c r="AN334" s="6"/>
      <c r="AO334" s="6"/>
      <c r="AP334" s="3"/>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row>
    <row r="335" spans="1:80" x14ac:dyDescent="0.2">
      <c r="A335" s="2"/>
      <c r="B335" s="2"/>
      <c r="C335" s="2"/>
      <c r="D335" s="2"/>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6"/>
      <c r="AJ335" s="6"/>
      <c r="AK335" s="6"/>
      <c r="AL335" s="6"/>
      <c r="AM335" s="6"/>
      <c r="AN335" s="6"/>
      <c r="AO335" s="6"/>
      <c r="AP335" s="3"/>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row>
    <row r="336" spans="1:80" x14ac:dyDescent="0.2">
      <c r="A336" s="2"/>
      <c r="B336" s="2"/>
      <c r="C336" s="2"/>
      <c r="D336" s="2"/>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6"/>
      <c r="AJ336" s="6"/>
      <c r="AK336" s="6"/>
      <c r="AL336" s="6"/>
      <c r="AM336" s="6"/>
      <c r="AN336" s="6"/>
      <c r="AO336" s="6"/>
      <c r="AP336" s="3"/>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row>
    <row r="337" spans="1:80" x14ac:dyDescent="0.2">
      <c r="A337" s="2"/>
      <c r="B337" s="2"/>
      <c r="C337" s="2"/>
      <c r="D337" s="2"/>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6"/>
      <c r="AJ337" s="6"/>
      <c r="AK337" s="6"/>
      <c r="AL337" s="6"/>
      <c r="AM337" s="6"/>
      <c r="AN337" s="6"/>
      <c r="AO337" s="6"/>
      <c r="AP337" s="3"/>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row>
    <row r="338" spans="1:80" x14ac:dyDescent="0.2">
      <c r="A338" s="2"/>
      <c r="B338" s="2"/>
      <c r="C338" s="2"/>
      <c r="D338" s="2"/>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6"/>
      <c r="AJ338" s="6"/>
      <c r="AK338" s="6"/>
      <c r="AL338" s="6"/>
      <c r="AM338" s="6"/>
      <c r="AN338" s="6"/>
      <c r="AO338" s="6"/>
      <c r="AP338" s="3"/>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row>
    <row r="339" spans="1:80" x14ac:dyDescent="0.2">
      <c r="A339" s="2"/>
      <c r="B339" s="2"/>
      <c r="C339" s="2"/>
      <c r="D339" s="2"/>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6"/>
      <c r="AJ339" s="6"/>
      <c r="AK339" s="6"/>
      <c r="AL339" s="6"/>
      <c r="AM339" s="6"/>
      <c r="AN339" s="6"/>
      <c r="AO339" s="6"/>
      <c r="AP339" s="3"/>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row>
    <row r="340" spans="1:80" x14ac:dyDescent="0.2">
      <c r="A340" s="2"/>
      <c r="B340" s="2"/>
      <c r="C340" s="2"/>
      <c r="D340" s="2"/>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6"/>
      <c r="AJ340" s="6"/>
      <c r="AK340" s="6"/>
      <c r="AL340" s="6"/>
      <c r="AM340" s="6"/>
      <c r="AN340" s="6"/>
      <c r="AO340" s="6"/>
      <c r="AP340" s="3"/>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row>
    <row r="341" spans="1:80" x14ac:dyDescent="0.2">
      <c r="A341" s="2"/>
      <c r="B341" s="2"/>
      <c r="C341" s="2"/>
      <c r="D341" s="2"/>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6"/>
      <c r="AJ341" s="6"/>
      <c r="AK341" s="6"/>
      <c r="AL341" s="6"/>
      <c r="AM341" s="6"/>
      <c r="AN341" s="6"/>
      <c r="AO341" s="6"/>
      <c r="AP341" s="3"/>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row>
    <row r="342" spans="1:80" x14ac:dyDescent="0.2">
      <c r="A342" s="2"/>
      <c r="B342" s="2"/>
      <c r="C342" s="2"/>
      <c r="D342" s="2"/>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6"/>
      <c r="AJ342" s="6"/>
      <c r="AK342" s="6"/>
      <c r="AL342" s="6"/>
      <c r="AM342" s="6"/>
      <c r="AN342" s="6"/>
      <c r="AO342" s="6"/>
      <c r="AP342" s="3"/>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row>
    <row r="343" spans="1:80" x14ac:dyDescent="0.2">
      <c r="A343" s="2"/>
      <c r="B343" s="2"/>
      <c r="C343" s="2"/>
      <c r="D343" s="2"/>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6"/>
      <c r="AJ343" s="6"/>
      <c r="AK343" s="6"/>
      <c r="AL343" s="6"/>
      <c r="AM343" s="6"/>
      <c r="AN343" s="6"/>
      <c r="AO343" s="6"/>
      <c r="AP343" s="3"/>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row>
    <row r="344" spans="1:80" x14ac:dyDescent="0.2">
      <c r="A344" s="2"/>
      <c r="B344" s="2"/>
      <c r="C344" s="2"/>
      <c r="D344" s="2"/>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6"/>
      <c r="AJ344" s="6"/>
      <c r="AK344" s="6"/>
      <c r="AL344" s="6"/>
      <c r="AM344" s="6"/>
      <c r="AN344" s="6"/>
      <c r="AO344" s="6"/>
      <c r="AP344" s="3"/>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row>
    <row r="345" spans="1:80" x14ac:dyDescent="0.2">
      <c r="A345" s="2"/>
      <c r="B345" s="2"/>
      <c r="C345" s="2"/>
      <c r="D345" s="2"/>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6"/>
      <c r="AJ345" s="6"/>
      <c r="AK345" s="6"/>
      <c r="AL345" s="6"/>
      <c r="AM345" s="6"/>
      <c r="AN345" s="6"/>
      <c r="AO345" s="6"/>
      <c r="AP345" s="3"/>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row>
    <row r="346" spans="1:80" x14ac:dyDescent="0.2">
      <c r="A346" s="2"/>
      <c r="B346" s="2"/>
      <c r="C346" s="2"/>
      <c r="D346" s="2"/>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6"/>
      <c r="AJ346" s="6"/>
      <c r="AK346" s="6"/>
      <c r="AL346" s="6"/>
      <c r="AM346" s="6"/>
      <c r="AN346" s="6"/>
      <c r="AO346" s="6"/>
      <c r="AP346" s="3"/>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row>
    <row r="347" spans="1:80" x14ac:dyDescent="0.2">
      <c r="A347" s="2"/>
      <c r="B347" s="2"/>
      <c r="C347" s="2"/>
      <c r="D347" s="2"/>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6"/>
      <c r="AJ347" s="6"/>
      <c r="AK347" s="6"/>
      <c r="AL347" s="6"/>
      <c r="AM347" s="6"/>
      <c r="AN347" s="6"/>
      <c r="AO347" s="6"/>
      <c r="AP347" s="3"/>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row>
    <row r="348" spans="1:80" x14ac:dyDescent="0.2">
      <c r="A348" s="2"/>
      <c r="B348" s="2"/>
      <c r="C348" s="2"/>
      <c r="D348" s="2"/>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6"/>
      <c r="AJ348" s="6"/>
      <c r="AK348" s="6"/>
      <c r="AL348" s="6"/>
      <c r="AM348" s="6"/>
      <c r="AN348" s="6"/>
      <c r="AO348" s="6"/>
      <c r="AP348" s="3"/>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row>
    <row r="349" spans="1:80" x14ac:dyDescent="0.2">
      <c r="A349" s="2"/>
      <c r="B349" s="2"/>
      <c r="C349" s="2"/>
      <c r="D349" s="2"/>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6"/>
      <c r="AJ349" s="6"/>
      <c r="AK349" s="6"/>
      <c r="AL349" s="6"/>
      <c r="AM349" s="6"/>
      <c r="AN349" s="6"/>
      <c r="AO349" s="6"/>
      <c r="AP349" s="3"/>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row>
    <row r="350" spans="1:80" x14ac:dyDescent="0.2">
      <c r="A350" s="2"/>
      <c r="B350" s="2"/>
      <c r="C350" s="2"/>
      <c r="D350" s="2"/>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6"/>
      <c r="AJ350" s="6"/>
      <c r="AK350" s="6"/>
      <c r="AL350" s="6"/>
      <c r="AM350" s="6"/>
      <c r="AN350" s="6"/>
      <c r="AO350" s="6"/>
      <c r="AP350" s="3"/>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row>
    <row r="351" spans="1:80" x14ac:dyDescent="0.2">
      <c r="A351" s="2"/>
      <c r="B351" s="2"/>
      <c r="C351" s="2"/>
      <c r="D351" s="2"/>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6"/>
      <c r="AJ351" s="6"/>
      <c r="AK351" s="6"/>
      <c r="AL351" s="6"/>
      <c r="AM351" s="6"/>
      <c r="AN351" s="6"/>
      <c r="AO351" s="6"/>
      <c r="AP351" s="3"/>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row>
    <row r="352" spans="1:80" x14ac:dyDescent="0.2">
      <c r="A352" s="2"/>
      <c r="B352" s="2"/>
      <c r="C352" s="2"/>
      <c r="D352" s="2"/>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6"/>
      <c r="AJ352" s="6"/>
      <c r="AK352" s="6"/>
      <c r="AL352" s="6"/>
      <c r="AM352" s="6"/>
      <c r="AN352" s="6"/>
      <c r="AO352" s="6"/>
      <c r="AP352" s="3"/>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row>
    <row r="353" spans="1:80" x14ac:dyDescent="0.2">
      <c r="A353" s="2"/>
      <c r="B353" s="2"/>
      <c r="C353" s="2"/>
      <c r="D353" s="2"/>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6"/>
      <c r="AJ353" s="6"/>
      <c r="AK353" s="6"/>
      <c r="AL353" s="6"/>
      <c r="AM353" s="6"/>
      <c r="AN353" s="6"/>
      <c r="AO353" s="6"/>
      <c r="AP353" s="3"/>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row>
    <row r="354" spans="1:80" x14ac:dyDescent="0.2">
      <c r="A354" s="2"/>
      <c r="B354" s="2"/>
      <c r="C354" s="2"/>
      <c r="D354" s="2"/>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6"/>
      <c r="AJ354" s="6"/>
      <c r="AK354" s="6"/>
      <c r="AL354" s="6"/>
      <c r="AM354" s="6"/>
      <c r="AN354" s="6"/>
      <c r="AO354" s="6"/>
      <c r="AP354" s="3"/>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row>
    <row r="355" spans="1:80" x14ac:dyDescent="0.2">
      <c r="A355" s="2"/>
      <c r="B355" s="2"/>
      <c r="C355" s="2"/>
      <c r="D355" s="2"/>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6"/>
      <c r="AJ355" s="6"/>
      <c r="AK355" s="6"/>
      <c r="AL355" s="6"/>
      <c r="AM355" s="6"/>
      <c r="AN355" s="6"/>
      <c r="AO355" s="6"/>
      <c r="AP355" s="3"/>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row>
    <row r="356" spans="1:80" x14ac:dyDescent="0.2">
      <c r="A356" s="2"/>
      <c r="B356" s="2"/>
      <c r="C356" s="2"/>
      <c r="D356" s="2"/>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6"/>
      <c r="AJ356" s="6"/>
      <c r="AK356" s="6"/>
      <c r="AL356" s="6"/>
      <c r="AM356" s="6"/>
      <c r="AN356" s="6"/>
      <c r="AO356" s="6"/>
      <c r="AP356" s="3"/>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row>
    <row r="357" spans="1:80" x14ac:dyDescent="0.2">
      <c r="A357" s="2"/>
      <c r="B357" s="2"/>
      <c r="C357" s="2"/>
      <c r="D357" s="2"/>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6"/>
      <c r="AJ357" s="6"/>
      <c r="AK357" s="6"/>
      <c r="AL357" s="6"/>
      <c r="AM357" s="6"/>
      <c r="AN357" s="6"/>
      <c r="AO357" s="6"/>
      <c r="AP357" s="3"/>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row>
    <row r="358" spans="1:80" x14ac:dyDescent="0.2">
      <c r="A358" s="2"/>
      <c r="B358" s="2"/>
      <c r="C358" s="2"/>
      <c r="D358" s="2"/>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6"/>
      <c r="AJ358" s="6"/>
      <c r="AK358" s="6"/>
      <c r="AL358" s="6"/>
      <c r="AM358" s="6"/>
      <c r="AN358" s="6"/>
      <c r="AO358" s="6"/>
      <c r="AP358" s="3"/>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row>
    <row r="359" spans="1:80" x14ac:dyDescent="0.2">
      <c r="A359" s="2"/>
      <c r="B359" s="2"/>
      <c r="C359" s="2"/>
      <c r="D359" s="2"/>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6"/>
      <c r="AJ359" s="6"/>
      <c r="AK359" s="6"/>
      <c r="AL359" s="6"/>
      <c r="AM359" s="6"/>
      <c r="AN359" s="6"/>
      <c r="AO359" s="6"/>
      <c r="AP359" s="3"/>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row>
    <row r="360" spans="1:80" x14ac:dyDescent="0.2">
      <c r="A360" s="2"/>
      <c r="B360" s="2"/>
      <c r="C360" s="2"/>
      <c r="D360" s="2"/>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6"/>
      <c r="AJ360" s="6"/>
      <c r="AK360" s="6"/>
      <c r="AL360" s="6"/>
      <c r="AM360" s="6"/>
      <c r="AN360" s="6"/>
      <c r="AO360" s="6"/>
      <c r="AP360" s="3"/>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row>
    <row r="361" spans="1:80" x14ac:dyDescent="0.2">
      <c r="A361" s="2"/>
      <c r="B361" s="2"/>
      <c r="C361" s="2"/>
      <c r="D361" s="2"/>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6"/>
      <c r="AJ361" s="6"/>
      <c r="AK361" s="6"/>
      <c r="AL361" s="6"/>
      <c r="AM361" s="6"/>
      <c r="AN361" s="6"/>
      <c r="AO361" s="6"/>
      <c r="AP361" s="3"/>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row>
    <row r="362" spans="1:80" x14ac:dyDescent="0.2">
      <c r="A362" s="2"/>
      <c r="B362" s="2"/>
      <c r="C362" s="2"/>
      <c r="D362" s="2"/>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6"/>
      <c r="AJ362" s="6"/>
      <c r="AK362" s="6"/>
      <c r="AL362" s="6"/>
      <c r="AM362" s="6"/>
      <c r="AN362" s="6"/>
      <c r="AO362" s="6"/>
      <c r="AP362" s="3"/>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row>
    <row r="363" spans="1:80" x14ac:dyDescent="0.2">
      <c r="A363" s="2"/>
      <c r="B363" s="2"/>
      <c r="C363" s="2"/>
      <c r="D363" s="2"/>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6"/>
      <c r="AJ363" s="6"/>
      <c r="AK363" s="6"/>
      <c r="AL363" s="6"/>
      <c r="AM363" s="6"/>
      <c r="AN363" s="6"/>
      <c r="AO363" s="6"/>
      <c r="AP363" s="3"/>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row>
    <row r="364" spans="1:80" x14ac:dyDescent="0.2">
      <c r="A364" s="2"/>
      <c r="B364" s="2"/>
      <c r="C364" s="2"/>
      <c r="D364" s="2"/>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6"/>
      <c r="AJ364" s="6"/>
      <c r="AK364" s="6"/>
      <c r="AL364" s="6"/>
      <c r="AM364" s="6"/>
      <c r="AN364" s="6"/>
      <c r="AO364" s="6"/>
      <c r="AP364" s="3"/>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row>
    <row r="365" spans="1:80" x14ac:dyDescent="0.2">
      <c r="A365" s="2"/>
      <c r="B365" s="2"/>
      <c r="C365" s="2"/>
      <c r="D365" s="2"/>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6"/>
      <c r="AJ365" s="6"/>
      <c r="AK365" s="6"/>
      <c r="AL365" s="6"/>
      <c r="AM365" s="6"/>
      <c r="AN365" s="6"/>
      <c r="AO365" s="6"/>
      <c r="AP365" s="3"/>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row>
    <row r="366" spans="1:80" x14ac:dyDescent="0.2">
      <c r="A366" s="2"/>
      <c r="B366" s="2"/>
      <c r="C366" s="2"/>
      <c r="D366" s="2"/>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6"/>
      <c r="AJ366" s="6"/>
      <c r="AK366" s="6"/>
      <c r="AL366" s="6"/>
      <c r="AM366" s="6"/>
      <c r="AN366" s="6"/>
      <c r="AO366" s="6"/>
      <c r="AP366" s="3"/>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row>
    <row r="367" spans="1:80" x14ac:dyDescent="0.2">
      <c r="A367" s="2"/>
      <c r="B367" s="2"/>
      <c r="C367" s="2"/>
      <c r="D367" s="2"/>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6"/>
      <c r="AJ367" s="6"/>
      <c r="AK367" s="6"/>
      <c r="AL367" s="6"/>
      <c r="AM367" s="6"/>
      <c r="AN367" s="6"/>
      <c r="AO367" s="6"/>
      <c r="AP367" s="3"/>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row>
    <row r="368" spans="1:80" x14ac:dyDescent="0.2">
      <c r="A368" s="2"/>
      <c r="B368" s="2"/>
      <c r="C368" s="2"/>
      <c r="D368" s="2"/>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6"/>
      <c r="AJ368" s="6"/>
      <c r="AK368" s="6"/>
      <c r="AL368" s="6"/>
      <c r="AM368" s="6"/>
      <c r="AN368" s="6"/>
      <c r="AO368" s="6"/>
      <c r="AP368" s="3"/>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row>
    <row r="369" spans="1:80" x14ac:dyDescent="0.2">
      <c r="A369" s="2"/>
      <c r="B369" s="2"/>
      <c r="C369" s="2"/>
      <c r="D369" s="2"/>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6"/>
      <c r="AJ369" s="6"/>
      <c r="AK369" s="6"/>
      <c r="AL369" s="6"/>
      <c r="AM369" s="6"/>
      <c r="AN369" s="6"/>
      <c r="AO369" s="6"/>
      <c r="AP369" s="3"/>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row>
    <row r="370" spans="1:80" x14ac:dyDescent="0.2">
      <c r="A370" s="2"/>
      <c r="B370" s="2"/>
      <c r="C370" s="2"/>
      <c r="D370" s="2"/>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6"/>
      <c r="AJ370" s="6"/>
      <c r="AK370" s="6"/>
      <c r="AL370" s="6"/>
      <c r="AM370" s="6"/>
      <c r="AN370" s="6"/>
      <c r="AO370" s="6"/>
      <c r="AP370" s="3"/>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row>
    <row r="371" spans="1:80" x14ac:dyDescent="0.2">
      <c r="A371" s="2"/>
      <c r="B371" s="2"/>
      <c r="C371" s="2"/>
      <c r="D371" s="2"/>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6"/>
      <c r="AJ371" s="6"/>
      <c r="AK371" s="6"/>
      <c r="AL371" s="6"/>
      <c r="AM371" s="6"/>
      <c r="AN371" s="6"/>
      <c r="AO371" s="6"/>
      <c r="AP371" s="3"/>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row>
    <row r="372" spans="1:80" x14ac:dyDescent="0.2">
      <c r="A372" s="2"/>
      <c r="B372" s="2"/>
      <c r="C372" s="2"/>
      <c r="D372" s="2"/>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6"/>
      <c r="AJ372" s="6"/>
      <c r="AK372" s="6"/>
      <c r="AL372" s="6"/>
      <c r="AM372" s="6"/>
      <c r="AN372" s="6"/>
      <c r="AO372" s="6"/>
      <c r="AP372" s="3"/>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row>
    <row r="373" spans="1:80" x14ac:dyDescent="0.2">
      <c r="A373" s="2"/>
      <c r="B373" s="2"/>
      <c r="C373" s="2"/>
      <c r="D373" s="2"/>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5"/>
      <c r="AJ373" s="5"/>
      <c r="AK373" s="5"/>
      <c r="AL373" s="5"/>
      <c r="AM373" s="5"/>
      <c r="AN373" s="5"/>
      <c r="AO373" s="5"/>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row>
    <row r="374" spans="1:80" x14ac:dyDescent="0.2">
      <c r="A374" s="2"/>
      <c r="B374" s="2"/>
      <c r="C374" s="2"/>
      <c r="D374" s="2"/>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row>
    <row r="375" spans="1:80" x14ac:dyDescent="0.2">
      <c r="A375" s="2"/>
      <c r="B375" s="2"/>
      <c r="C375" s="2"/>
      <c r="D375" s="2"/>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row>
    <row r="376" spans="1:80" x14ac:dyDescent="0.2">
      <c r="A376" s="2"/>
      <c r="B376" s="2"/>
      <c r="C376" s="2"/>
      <c r="D376" s="2"/>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row>
    <row r="377" spans="1:80" x14ac:dyDescent="0.2">
      <c r="A377" s="2"/>
      <c r="B377" s="2"/>
      <c r="C377" s="2"/>
      <c r="D377" s="2"/>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row>
    <row r="378" spans="1:80" x14ac:dyDescent="0.2">
      <c r="A378" s="2"/>
      <c r="B378" s="2"/>
      <c r="C378" s="2"/>
      <c r="D378" s="2"/>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row>
    <row r="379" spans="1:80" x14ac:dyDescent="0.2">
      <c r="A379" s="2"/>
      <c r="B379" s="2"/>
      <c r="C379" s="2"/>
      <c r="D379" s="2"/>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row>
    <row r="380" spans="1:80" x14ac:dyDescent="0.2">
      <c r="A380" s="2"/>
      <c r="B380" s="2"/>
      <c r="C380" s="2"/>
      <c r="D380" s="2"/>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row>
    <row r="381" spans="1:80" x14ac:dyDescent="0.2">
      <c r="A381" s="2"/>
      <c r="B381" s="2"/>
      <c r="C381" s="2"/>
      <c r="D381" s="2"/>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row>
    <row r="382" spans="1:80" x14ac:dyDescent="0.2">
      <c r="A382" s="2"/>
      <c r="B382" s="2"/>
      <c r="C382" s="2"/>
      <c r="D382" s="2"/>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row>
    <row r="383" spans="1:80" x14ac:dyDescent="0.2">
      <c r="A383" s="2"/>
      <c r="B383" s="2"/>
      <c r="C383" s="2"/>
      <c r="D383" s="2"/>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row>
    <row r="384" spans="1:80" x14ac:dyDescent="0.2">
      <c r="A384" s="2"/>
      <c r="B384" s="2"/>
      <c r="C384" s="2"/>
      <c r="D384" s="2"/>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row>
    <row r="385" spans="1:80" x14ac:dyDescent="0.2">
      <c r="A385" s="2"/>
      <c r="B385" s="2"/>
      <c r="C385" s="2"/>
      <c r="D385" s="2"/>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row>
    <row r="386" spans="1:80" x14ac:dyDescent="0.2">
      <c r="A386" s="2"/>
      <c r="B386" s="2"/>
      <c r="C386" s="2"/>
      <c r="D386" s="2"/>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row>
    <row r="387" spans="1:80" x14ac:dyDescent="0.2">
      <c r="A387" s="2"/>
      <c r="B387" s="2"/>
      <c r="C387" s="2"/>
      <c r="D387" s="2"/>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row>
    <row r="388" spans="1:80" x14ac:dyDescent="0.2">
      <c r="A388" s="2"/>
      <c r="B388" s="2"/>
      <c r="C388" s="2"/>
      <c r="D388" s="2"/>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row>
    <row r="389" spans="1:80" x14ac:dyDescent="0.2">
      <c r="A389" s="2"/>
      <c r="B389" s="2"/>
      <c r="C389" s="2"/>
      <c r="D389" s="2"/>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row>
    <row r="390" spans="1:80" x14ac:dyDescent="0.2">
      <c r="A390" s="2"/>
      <c r="B390" s="2"/>
      <c r="C390" s="2"/>
      <c r="D390" s="2"/>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row>
    <row r="391" spans="1:80" x14ac:dyDescent="0.2">
      <c r="A391" s="2"/>
      <c r="B391" s="2"/>
      <c r="C391" s="2"/>
      <c r="D391" s="2"/>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row>
    <row r="392" spans="1:80" x14ac:dyDescent="0.2">
      <c r="A392" s="2"/>
      <c r="B392" s="2"/>
      <c r="C392" s="2"/>
      <c r="D392" s="2"/>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row>
    <row r="393" spans="1:80" x14ac:dyDescent="0.2">
      <c r="A393" s="2"/>
      <c r="B393" s="2"/>
      <c r="C393" s="2"/>
      <c r="D393" s="2"/>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row>
    <row r="394" spans="1:80" x14ac:dyDescent="0.2">
      <c r="A394" s="2"/>
      <c r="B394" s="2"/>
      <c r="C394" s="2"/>
      <c r="D394" s="2"/>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row>
    <row r="395" spans="1:80" x14ac:dyDescent="0.2">
      <c r="A395" s="2"/>
      <c r="B395" s="2"/>
      <c r="C395" s="2"/>
      <c r="D395" s="2"/>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row>
    <row r="396" spans="1:80" x14ac:dyDescent="0.2">
      <c r="A396" s="2"/>
      <c r="B396" s="2"/>
      <c r="C396" s="2"/>
      <c r="D396" s="2"/>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row>
    <row r="397" spans="1:80" x14ac:dyDescent="0.2">
      <c r="A397" s="2"/>
      <c r="B397" s="2"/>
      <c r="C397" s="2"/>
      <c r="D397" s="2"/>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row>
    <row r="398" spans="1:80" x14ac:dyDescent="0.2">
      <c r="A398" s="2"/>
      <c r="B398" s="2"/>
      <c r="C398" s="2"/>
      <c r="D398" s="2"/>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row>
    <row r="399" spans="1:80" x14ac:dyDescent="0.2">
      <c r="A399" s="2"/>
      <c r="B399" s="2"/>
      <c r="C399" s="2"/>
      <c r="D399" s="2"/>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row>
    <row r="400" spans="1:80" x14ac:dyDescent="0.2">
      <c r="A400" s="2"/>
      <c r="B400" s="2"/>
      <c r="C400" s="2"/>
      <c r="D400" s="2"/>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row>
    <row r="401" spans="1:80" x14ac:dyDescent="0.2">
      <c r="A401" s="2"/>
      <c r="B401" s="2"/>
      <c r="C401" s="2"/>
      <c r="D401" s="2"/>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row>
    <row r="402" spans="1:80" x14ac:dyDescent="0.2">
      <c r="A402" s="2"/>
      <c r="B402" s="2"/>
      <c r="C402" s="2"/>
      <c r="D402" s="2"/>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row>
    <row r="403" spans="1:80" x14ac:dyDescent="0.2">
      <c r="A403" s="2"/>
      <c r="B403" s="2"/>
      <c r="C403" s="2"/>
      <c r="D403" s="2"/>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row>
    <row r="404" spans="1:80" x14ac:dyDescent="0.2">
      <c r="A404" s="2"/>
      <c r="B404" s="2"/>
      <c r="C404" s="2"/>
      <c r="D404" s="2"/>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row>
    <row r="405" spans="1:80" x14ac:dyDescent="0.2">
      <c r="A405" s="2"/>
      <c r="B405" s="2"/>
      <c r="C405" s="2"/>
      <c r="D405" s="2"/>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row>
    <row r="406" spans="1:80" x14ac:dyDescent="0.2">
      <c r="A406" s="2"/>
      <c r="B406" s="2"/>
      <c r="C406" s="2"/>
      <c r="D406" s="2"/>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row>
    <row r="407" spans="1:80" x14ac:dyDescent="0.2">
      <c r="A407" s="2"/>
      <c r="B407" s="2"/>
      <c r="C407" s="2"/>
      <c r="D407" s="2"/>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row>
    <row r="408" spans="1:80" x14ac:dyDescent="0.2">
      <c r="A408" s="2"/>
      <c r="B408" s="2"/>
      <c r="C408" s="2"/>
      <c r="D408" s="2"/>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row>
    <row r="409" spans="1:80" x14ac:dyDescent="0.2">
      <c r="A409" s="2"/>
      <c r="B409" s="2"/>
      <c r="C409" s="2"/>
      <c r="D409" s="2"/>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row>
    <row r="410" spans="1:80" x14ac:dyDescent="0.2">
      <c r="A410" s="2"/>
      <c r="B410" s="2"/>
      <c r="C410" s="2"/>
      <c r="D410" s="2"/>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row>
    <row r="411" spans="1:80" x14ac:dyDescent="0.2">
      <c r="A411" s="2"/>
      <c r="B411" s="2"/>
      <c r="C411" s="2"/>
      <c r="D411" s="2"/>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row>
    <row r="412" spans="1:80" x14ac:dyDescent="0.2">
      <c r="A412" s="2"/>
      <c r="B412" s="2"/>
      <c r="C412" s="2"/>
      <c r="D412" s="2"/>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row>
    <row r="413" spans="1:80" x14ac:dyDescent="0.2">
      <c r="A413" s="2"/>
      <c r="B413" s="2"/>
      <c r="C413" s="2"/>
      <c r="D413" s="2"/>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row>
    <row r="414" spans="1:80" x14ac:dyDescent="0.2">
      <c r="A414" s="2"/>
      <c r="B414" s="2"/>
      <c r="C414" s="2"/>
      <c r="D414" s="2"/>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row>
    <row r="415" spans="1:80" x14ac:dyDescent="0.2">
      <c r="A415" s="2"/>
      <c r="B415" s="2"/>
      <c r="C415" s="2"/>
      <c r="D415" s="2"/>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row>
    <row r="416" spans="1:80" x14ac:dyDescent="0.2">
      <c r="A416" s="2"/>
      <c r="B416" s="2"/>
      <c r="C416" s="2"/>
      <c r="D416" s="2"/>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row>
    <row r="417" spans="1:80" x14ac:dyDescent="0.2">
      <c r="A417" s="2"/>
      <c r="B417" s="2"/>
      <c r="C417" s="2"/>
      <c r="D417" s="2"/>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row>
    <row r="418" spans="1:80" x14ac:dyDescent="0.2">
      <c r="A418" s="2"/>
      <c r="B418" s="2"/>
      <c r="C418" s="2"/>
      <c r="D418" s="2"/>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row>
    <row r="419" spans="1:80" x14ac:dyDescent="0.2">
      <c r="A419" s="2"/>
      <c r="B419" s="2"/>
      <c r="C419" s="2"/>
      <c r="D419" s="2"/>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row>
    <row r="420" spans="1:80" x14ac:dyDescent="0.2">
      <c r="A420" s="2"/>
      <c r="B420" s="2"/>
      <c r="C420" s="2"/>
      <c r="D420" s="2"/>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row>
    <row r="421" spans="1:80" x14ac:dyDescent="0.2">
      <c r="A421" s="2"/>
      <c r="B421" s="2"/>
      <c r="C421" s="2"/>
      <c r="D421" s="2"/>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row>
    <row r="422" spans="1:80" x14ac:dyDescent="0.2">
      <c r="A422" s="2"/>
      <c r="B422" s="2"/>
      <c r="C422" s="2"/>
      <c r="D422" s="2"/>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row>
    <row r="423" spans="1:80" x14ac:dyDescent="0.2">
      <c r="A423" s="2"/>
      <c r="B423" s="2"/>
      <c r="C423" s="2"/>
      <c r="D423" s="2"/>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row>
    <row r="424" spans="1:80" x14ac:dyDescent="0.2">
      <c r="A424" s="2"/>
      <c r="B424" s="2"/>
      <c r="C424" s="2"/>
      <c r="D424" s="2"/>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row>
    <row r="425" spans="1:80" x14ac:dyDescent="0.2">
      <c r="A425" s="2"/>
      <c r="B425" s="2"/>
      <c r="C425" s="2"/>
      <c r="D425" s="2"/>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row>
    <row r="426" spans="1:80" x14ac:dyDescent="0.2">
      <c r="A426" s="2"/>
      <c r="B426" s="2"/>
      <c r="C426" s="2"/>
      <c r="D426" s="2"/>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row>
    <row r="427" spans="1:80" x14ac:dyDescent="0.2">
      <c r="A427" s="2"/>
      <c r="B427" s="2"/>
      <c r="C427" s="2"/>
      <c r="D427" s="2"/>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row>
    <row r="428" spans="1:80" x14ac:dyDescent="0.2">
      <c r="A428" s="2"/>
      <c r="B428" s="2"/>
      <c r="C428" s="2"/>
      <c r="D428" s="2"/>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row>
    <row r="429" spans="1:80" x14ac:dyDescent="0.2">
      <c r="A429" s="2"/>
      <c r="B429" s="2"/>
      <c r="C429" s="2"/>
      <c r="D429" s="2"/>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row>
    <row r="430" spans="1:80" x14ac:dyDescent="0.2">
      <c r="A430" s="2"/>
      <c r="B430" s="2"/>
      <c r="C430" s="2"/>
      <c r="D430" s="2"/>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row>
    <row r="431" spans="1:80" x14ac:dyDescent="0.2">
      <c r="A431" s="2"/>
      <c r="B431" s="2"/>
      <c r="C431" s="2"/>
      <c r="D431" s="2"/>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row>
    <row r="432" spans="1:80" x14ac:dyDescent="0.2">
      <c r="A432" s="2"/>
      <c r="B432" s="2"/>
      <c r="C432" s="2"/>
      <c r="D432" s="2"/>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row>
    <row r="433" spans="1:80" x14ac:dyDescent="0.2">
      <c r="A433" s="2"/>
      <c r="B433" s="2"/>
      <c r="C433" s="2"/>
      <c r="D433" s="2"/>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row>
    <row r="434" spans="1:80" x14ac:dyDescent="0.2">
      <c r="A434" s="2"/>
      <c r="B434" s="2"/>
      <c r="C434" s="2"/>
      <c r="D434" s="2"/>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row>
    <row r="435" spans="1:80" x14ac:dyDescent="0.2">
      <c r="A435" s="2"/>
      <c r="B435" s="2"/>
      <c r="C435" s="2"/>
      <c r="D435" s="2"/>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row>
    <row r="436" spans="1:80" x14ac:dyDescent="0.2">
      <c r="A436" s="2"/>
      <c r="B436" s="2"/>
      <c r="C436" s="2"/>
      <c r="D436" s="2"/>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row>
    <row r="437" spans="1:80" x14ac:dyDescent="0.2">
      <c r="A437" s="2"/>
      <c r="B437" s="2"/>
      <c r="C437" s="2"/>
      <c r="D437" s="2"/>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row>
    <row r="438" spans="1:80" x14ac:dyDescent="0.2">
      <c r="A438" s="2"/>
      <c r="B438" s="2"/>
      <c r="C438" s="2"/>
      <c r="D438" s="2"/>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row>
    <row r="439" spans="1:80" x14ac:dyDescent="0.2">
      <c r="A439" s="2"/>
      <c r="B439" s="2"/>
      <c r="C439" s="2"/>
      <c r="D439" s="2"/>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row>
    <row r="440" spans="1:80" x14ac:dyDescent="0.2">
      <c r="A440" s="2"/>
      <c r="B440" s="2"/>
      <c r="C440" s="2"/>
      <c r="D440" s="2"/>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row>
    <row r="441" spans="1:80" x14ac:dyDescent="0.2">
      <c r="A441" s="2"/>
      <c r="B441" s="2"/>
      <c r="C441" s="2"/>
      <c r="D441" s="2"/>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row>
    <row r="442" spans="1:80" x14ac:dyDescent="0.2">
      <c r="A442" s="2"/>
      <c r="B442" s="2"/>
      <c r="C442" s="2"/>
      <c r="D442" s="2"/>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row>
    <row r="443" spans="1:80" x14ac:dyDescent="0.2">
      <c r="A443" s="2"/>
      <c r="B443" s="2"/>
      <c r="C443" s="2"/>
      <c r="D443" s="2"/>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row>
    <row r="444" spans="1:80" x14ac:dyDescent="0.2">
      <c r="A444" s="2"/>
      <c r="B444" s="2"/>
      <c r="C444" s="2"/>
      <c r="D444" s="2"/>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row>
    <row r="445" spans="1:80" x14ac:dyDescent="0.2">
      <c r="A445" s="2"/>
      <c r="B445" s="2"/>
      <c r="C445" s="2"/>
      <c r="D445" s="2"/>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row>
    <row r="446" spans="1:80" x14ac:dyDescent="0.2">
      <c r="A446" s="2"/>
      <c r="B446" s="2"/>
      <c r="C446" s="2"/>
      <c r="D446" s="2"/>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row>
    <row r="447" spans="1:80" x14ac:dyDescent="0.2">
      <c r="A447" s="2"/>
      <c r="B447" s="2"/>
      <c r="C447" s="2"/>
      <c r="D447" s="2"/>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row>
    <row r="448" spans="1:80" x14ac:dyDescent="0.2">
      <c r="A448" s="2"/>
      <c r="B448" s="2"/>
      <c r="C448" s="2"/>
      <c r="D448" s="2"/>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row>
    <row r="449" spans="1:80" x14ac:dyDescent="0.2">
      <c r="A449" s="2"/>
      <c r="B449" s="2"/>
      <c r="C449" s="2"/>
      <c r="D449" s="2"/>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row>
    <row r="450" spans="1:80" x14ac:dyDescent="0.2">
      <c r="A450" s="2"/>
      <c r="B450" s="2"/>
      <c r="C450" s="2"/>
      <c r="D450" s="2"/>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row>
    <row r="451" spans="1:80" x14ac:dyDescent="0.2">
      <c r="A451" s="2"/>
      <c r="B451" s="2"/>
      <c r="C451" s="2"/>
      <c r="D451" s="2"/>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row>
    <row r="452" spans="1:80" x14ac:dyDescent="0.2">
      <c r="A452" s="2"/>
      <c r="B452" s="2"/>
      <c r="C452" s="2"/>
      <c r="D452" s="2"/>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row>
    <row r="453" spans="1:80" x14ac:dyDescent="0.2">
      <c r="A453" s="2"/>
      <c r="B453" s="2"/>
      <c r="C453" s="2"/>
      <c r="D453" s="2"/>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row>
    <row r="454" spans="1:80" x14ac:dyDescent="0.2">
      <c r="A454" s="2"/>
      <c r="B454" s="2"/>
      <c r="C454" s="2"/>
      <c r="D454" s="2"/>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row>
    <row r="455" spans="1:80" x14ac:dyDescent="0.2">
      <c r="A455" s="2"/>
      <c r="B455" s="2"/>
      <c r="C455" s="2"/>
      <c r="D455" s="2"/>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row>
    <row r="456" spans="1:80" x14ac:dyDescent="0.2">
      <c r="A456" s="2"/>
      <c r="B456" s="2"/>
      <c r="C456" s="2"/>
      <c r="D456" s="2"/>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row>
    <row r="457" spans="1:80" x14ac:dyDescent="0.2">
      <c r="A457" s="2"/>
      <c r="B457" s="2"/>
      <c r="C457" s="2"/>
      <c r="D457" s="2"/>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row>
    <row r="458" spans="1:80" x14ac:dyDescent="0.2">
      <c r="A458" s="2"/>
      <c r="B458" s="2"/>
      <c r="C458" s="2"/>
      <c r="D458" s="2"/>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row>
    <row r="459" spans="1:80" x14ac:dyDescent="0.2">
      <c r="A459" s="2"/>
      <c r="B459" s="2"/>
      <c r="C459" s="2"/>
      <c r="D459" s="2"/>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row>
    <row r="460" spans="1:80" x14ac:dyDescent="0.2">
      <c r="A460" s="2"/>
      <c r="B460" s="2"/>
      <c r="C460" s="2"/>
      <c r="D460" s="2"/>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row>
    <row r="461" spans="1:80" x14ac:dyDescent="0.2">
      <c r="A461" s="2"/>
      <c r="B461" s="2"/>
      <c r="C461" s="2"/>
      <c r="D461" s="2"/>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row>
    <row r="462" spans="1:80" x14ac:dyDescent="0.2">
      <c r="A462" s="2"/>
      <c r="B462" s="2"/>
      <c r="C462" s="2"/>
      <c r="D462" s="2"/>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row>
    <row r="463" spans="1:80" x14ac:dyDescent="0.2">
      <c r="A463" s="2"/>
      <c r="B463" s="2"/>
      <c r="C463" s="2"/>
      <c r="D463" s="2"/>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row>
    <row r="464" spans="1:80" x14ac:dyDescent="0.2">
      <c r="A464" s="2"/>
      <c r="B464" s="2"/>
      <c r="C464" s="2"/>
      <c r="D464" s="2"/>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row>
    <row r="465" spans="1:80" x14ac:dyDescent="0.2">
      <c r="A465" s="2"/>
      <c r="B465" s="2"/>
      <c r="C465" s="2"/>
      <c r="D465" s="2"/>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row>
    <row r="466" spans="1:80" x14ac:dyDescent="0.2">
      <c r="A466" s="2"/>
      <c r="B466" s="2"/>
      <c r="C466" s="2"/>
      <c r="D466" s="2"/>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row>
    <row r="467" spans="1:80" x14ac:dyDescent="0.2">
      <c r="A467" s="2"/>
      <c r="B467" s="2"/>
      <c r="C467" s="2"/>
      <c r="D467" s="2"/>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row>
    <row r="468" spans="1:80" x14ac:dyDescent="0.2">
      <c r="A468" s="2"/>
      <c r="B468" s="2"/>
      <c r="C468" s="2"/>
      <c r="D468" s="2"/>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row>
    <row r="469" spans="1:80" x14ac:dyDescent="0.2">
      <c r="A469" s="2"/>
      <c r="B469" s="2"/>
      <c r="C469" s="2"/>
      <c r="D469" s="2"/>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row>
    <row r="470" spans="1:80" x14ac:dyDescent="0.2">
      <c r="A470" s="2"/>
      <c r="B470" s="2"/>
      <c r="C470" s="2"/>
      <c r="D470" s="2"/>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row>
    <row r="471" spans="1:80" x14ac:dyDescent="0.2">
      <c r="A471" s="2"/>
      <c r="B471" s="2"/>
      <c r="C471" s="2"/>
      <c r="D471" s="2"/>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row>
    <row r="472" spans="1:80" x14ac:dyDescent="0.2">
      <c r="A472" s="2"/>
      <c r="B472" s="2"/>
      <c r="C472" s="2"/>
      <c r="D472" s="2"/>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row>
    <row r="473" spans="1:80" x14ac:dyDescent="0.2">
      <c r="A473" s="2"/>
      <c r="B473" s="2"/>
      <c r="C473" s="2"/>
      <c r="D473" s="2"/>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row>
    <row r="474" spans="1:80" x14ac:dyDescent="0.2">
      <c r="A474" s="2"/>
      <c r="B474" s="2"/>
      <c r="C474" s="2"/>
      <c r="D474" s="2"/>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row>
    <row r="475" spans="1:80" x14ac:dyDescent="0.2">
      <c r="A475" s="2"/>
      <c r="B475" s="2"/>
      <c r="C475" s="2"/>
      <c r="D475" s="2"/>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row>
    <row r="476" spans="1:80" x14ac:dyDescent="0.2">
      <c r="A476" s="2"/>
      <c r="B476" s="2"/>
      <c r="C476" s="2"/>
      <c r="D476" s="2"/>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row>
    <row r="477" spans="1:80" x14ac:dyDescent="0.2">
      <c r="A477" s="2"/>
      <c r="B477" s="2"/>
      <c r="C477" s="2"/>
      <c r="D477" s="2"/>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row>
    <row r="478" spans="1:80" x14ac:dyDescent="0.2">
      <c r="A478" s="2"/>
      <c r="B478" s="2"/>
      <c r="C478" s="2"/>
      <c r="D478" s="2"/>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row>
    <row r="479" spans="1:80" x14ac:dyDescent="0.2">
      <c r="A479" s="2"/>
      <c r="B479" s="2"/>
      <c r="C479" s="2"/>
      <c r="D479" s="2"/>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row>
    <row r="480" spans="1:80" x14ac:dyDescent="0.2">
      <c r="A480" s="2"/>
      <c r="B480" s="2"/>
      <c r="C480" s="2"/>
      <c r="D480" s="2"/>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row>
    <row r="481" spans="1:80" x14ac:dyDescent="0.2">
      <c r="A481" s="2"/>
      <c r="B481" s="2"/>
      <c r="C481" s="2"/>
      <c r="D481" s="2"/>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row>
    <row r="482" spans="1:80" x14ac:dyDescent="0.2">
      <c r="A482" s="2"/>
      <c r="B482" s="2"/>
      <c r="C482" s="2"/>
      <c r="D482" s="2"/>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row>
    <row r="483" spans="1:80" x14ac:dyDescent="0.2">
      <c r="A483" s="2"/>
      <c r="B483" s="2"/>
      <c r="C483" s="2"/>
      <c r="D483" s="2"/>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row>
    <row r="484" spans="1:80" x14ac:dyDescent="0.2">
      <c r="A484" s="2"/>
      <c r="B484" s="2"/>
      <c r="C484" s="2"/>
      <c r="D484" s="2"/>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row>
    <row r="485" spans="1:80" x14ac:dyDescent="0.2">
      <c r="A485" s="2"/>
      <c r="B485" s="2"/>
      <c r="C485" s="2"/>
      <c r="D485" s="2"/>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row>
    <row r="486" spans="1:80" x14ac:dyDescent="0.2">
      <c r="A486" s="2"/>
      <c r="B486" s="2"/>
      <c r="C486" s="2"/>
      <c r="D486" s="2"/>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row>
    <row r="487" spans="1:80" x14ac:dyDescent="0.2">
      <c r="A487" s="2"/>
      <c r="B487" s="2"/>
      <c r="C487" s="2"/>
      <c r="D487" s="2"/>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row>
    <row r="488" spans="1:80" x14ac:dyDescent="0.2">
      <c r="A488" s="2"/>
      <c r="B488" s="2"/>
      <c r="C488" s="2"/>
      <c r="D488" s="2"/>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row>
    <row r="489" spans="1:80" x14ac:dyDescent="0.2">
      <c r="A489" s="2"/>
      <c r="B489" s="2"/>
      <c r="C489" s="2"/>
      <c r="D489" s="2"/>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row>
    <row r="490" spans="1:80" x14ac:dyDescent="0.2">
      <c r="A490" s="2"/>
      <c r="B490" s="2"/>
      <c r="C490" s="2"/>
      <c r="D490" s="2"/>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row>
    <row r="491" spans="1:80" x14ac:dyDescent="0.2">
      <c r="A491" s="2"/>
      <c r="B491" s="2"/>
      <c r="C491" s="2"/>
      <c r="D491" s="2"/>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row>
    <row r="492" spans="1:80" x14ac:dyDescent="0.2">
      <c r="A492" s="2"/>
      <c r="B492" s="2"/>
      <c r="C492" s="2"/>
      <c r="D492" s="2"/>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row>
    <row r="493" spans="1:80" x14ac:dyDescent="0.2">
      <c r="A493" s="2"/>
      <c r="B493" s="2"/>
      <c r="C493" s="2"/>
      <c r="D493" s="2"/>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row>
    <row r="494" spans="1:80" x14ac:dyDescent="0.2">
      <c r="A494" s="2"/>
      <c r="B494" s="2"/>
      <c r="C494" s="2"/>
      <c r="D494" s="2"/>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row>
    <row r="495" spans="1:80" x14ac:dyDescent="0.2">
      <c r="A495" s="2"/>
      <c r="B495" s="2"/>
      <c r="C495" s="2"/>
      <c r="D495" s="2"/>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row>
    <row r="496" spans="1:80" x14ac:dyDescent="0.2">
      <c r="A496" s="2"/>
      <c r="B496" s="2"/>
      <c r="C496" s="2"/>
      <c r="D496" s="2"/>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row>
    <row r="497" spans="1:80" x14ac:dyDescent="0.2">
      <c r="A497" s="2"/>
      <c r="B497" s="2"/>
      <c r="C497" s="2"/>
      <c r="D497" s="2"/>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row>
    <row r="498" spans="1:80" x14ac:dyDescent="0.2">
      <c r="A498" s="2"/>
      <c r="B498" s="2"/>
      <c r="C498" s="2"/>
      <c r="D498" s="2"/>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row>
    <row r="499" spans="1:80" x14ac:dyDescent="0.2">
      <c r="A499" s="2"/>
      <c r="B499" s="2"/>
      <c r="C499" s="2"/>
      <c r="D499" s="2"/>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row>
    <row r="500" spans="1:80" x14ac:dyDescent="0.2">
      <c r="A500" s="2"/>
      <c r="B500" s="2"/>
      <c r="C500" s="2"/>
      <c r="D500" s="2"/>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row>
    <row r="501" spans="1:80" x14ac:dyDescent="0.2">
      <c r="A501" s="2"/>
      <c r="B501" s="2"/>
      <c r="C501" s="2"/>
      <c r="D501" s="2"/>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row>
    <row r="502" spans="1:80" x14ac:dyDescent="0.2">
      <c r="A502" s="2"/>
      <c r="B502" s="2"/>
      <c r="C502" s="2"/>
      <c r="D502" s="2"/>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row>
    <row r="503" spans="1:80" x14ac:dyDescent="0.2">
      <c r="A503" s="2"/>
      <c r="B503" s="2"/>
      <c r="C503" s="2"/>
      <c r="D503" s="2"/>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row>
    <row r="504" spans="1:80" x14ac:dyDescent="0.2">
      <c r="A504" s="2"/>
      <c r="B504" s="2"/>
      <c r="C504" s="2"/>
      <c r="D504" s="2"/>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row>
    <row r="505" spans="1:80" x14ac:dyDescent="0.2">
      <c r="A505" s="2"/>
      <c r="B505" s="2"/>
      <c r="C505" s="2"/>
      <c r="D505" s="2"/>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row>
    <row r="506" spans="1:80" x14ac:dyDescent="0.2">
      <c r="A506" s="2"/>
      <c r="B506" s="2"/>
      <c r="C506" s="2"/>
      <c r="D506" s="2"/>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row>
    <row r="507" spans="1:80" x14ac:dyDescent="0.2">
      <c r="A507" s="2"/>
      <c r="B507" s="2"/>
      <c r="C507" s="2"/>
      <c r="D507" s="2"/>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row>
    <row r="508" spans="1:80" x14ac:dyDescent="0.2">
      <c r="A508" s="2"/>
      <c r="B508" s="2"/>
      <c r="C508" s="2"/>
      <c r="D508" s="2"/>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row>
    <row r="509" spans="1:80" x14ac:dyDescent="0.2">
      <c r="A509" s="2"/>
      <c r="B509" s="2"/>
      <c r="C509" s="2"/>
      <c r="D509" s="2"/>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row>
    <row r="510" spans="1:80" x14ac:dyDescent="0.2">
      <c r="A510" s="2"/>
      <c r="B510" s="2"/>
      <c r="C510" s="2"/>
      <c r="D510" s="2"/>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row>
    <row r="511" spans="1:80" x14ac:dyDescent="0.2">
      <c r="A511" s="2"/>
      <c r="B511" s="2"/>
      <c r="C511" s="2"/>
      <c r="D511" s="2"/>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row>
    <row r="512" spans="1:80" x14ac:dyDescent="0.2">
      <c r="A512" s="2"/>
      <c r="B512" s="2"/>
      <c r="C512" s="2"/>
      <c r="D512" s="2"/>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row>
    <row r="513" spans="1:80" x14ac:dyDescent="0.2">
      <c r="A513" s="2"/>
      <c r="B513" s="2"/>
      <c r="C513" s="2"/>
      <c r="D513" s="2"/>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row>
    <row r="514" spans="1:80" x14ac:dyDescent="0.2">
      <c r="A514" s="2"/>
      <c r="B514" s="2"/>
      <c r="C514" s="2"/>
      <c r="D514" s="2"/>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row>
    <row r="515" spans="1:80" x14ac:dyDescent="0.2">
      <c r="A515" s="2"/>
      <c r="B515" s="2"/>
      <c r="C515" s="2"/>
      <c r="D515" s="2"/>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row>
    <row r="516" spans="1:80" x14ac:dyDescent="0.2">
      <c r="A516" s="2"/>
      <c r="B516" s="2"/>
      <c r="C516" s="2"/>
      <c r="D516" s="2"/>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row>
    <row r="517" spans="1:80" x14ac:dyDescent="0.2">
      <c r="A517" s="2"/>
      <c r="B517" s="2"/>
      <c r="C517" s="2"/>
      <c r="D517" s="2"/>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row>
    <row r="518" spans="1:80" x14ac:dyDescent="0.2">
      <c r="A518" s="2"/>
      <c r="B518" s="2"/>
      <c r="C518" s="2"/>
      <c r="D518" s="2"/>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row>
    <row r="519" spans="1:80" x14ac:dyDescent="0.2">
      <c r="A519" s="2"/>
      <c r="B519" s="2"/>
      <c r="C519" s="2"/>
      <c r="D519" s="2"/>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row>
    <row r="520" spans="1:80" x14ac:dyDescent="0.2">
      <c r="A520" s="2"/>
      <c r="B520" s="2"/>
      <c r="C520" s="2"/>
      <c r="D520" s="2"/>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row>
    <row r="521" spans="1:80" x14ac:dyDescent="0.2">
      <c r="A521" s="2"/>
      <c r="B521" s="2"/>
      <c r="C521" s="2"/>
      <c r="D521" s="2"/>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row>
    <row r="522" spans="1:80" x14ac:dyDescent="0.2">
      <c r="A522" s="2"/>
      <c r="B522" s="2"/>
      <c r="C522" s="2"/>
      <c r="D522" s="2"/>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row>
    <row r="523" spans="1:80" x14ac:dyDescent="0.2">
      <c r="A523" s="2"/>
      <c r="B523" s="2"/>
      <c r="C523" s="2"/>
      <c r="D523" s="2"/>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row>
    <row r="524" spans="1:80" x14ac:dyDescent="0.2">
      <c r="A524" s="2"/>
      <c r="B524" s="2"/>
      <c r="C524" s="2"/>
      <c r="D524" s="2"/>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row>
    <row r="525" spans="1:80" x14ac:dyDescent="0.2">
      <c r="A525" s="2"/>
      <c r="B525" s="2"/>
      <c r="C525" s="2"/>
      <c r="D525" s="2"/>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row>
    <row r="526" spans="1:80" x14ac:dyDescent="0.2">
      <c r="A526" s="2"/>
      <c r="B526" s="2"/>
      <c r="C526" s="2"/>
      <c r="D526" s="2"/>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row>
    <row r="527" spans="1:80" x14ac:dyDescent="0.2">
      <c r="A527" s="2"/>
      <c r="B527" s="2"/>
      <c r="C527" s="2"/>
      <c r="D527" s="2"/>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row>
    <row r="528" spans="1:80" x14ac:dyDescent="0.2">
      <c r="A528" s="2"/>
      <c r="B528" s="2"/>
      <c r="C528" s="2"/>
      <c r="D528" s="2"/>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row>
    <row r="529" spans="1:80" x14ac:dyDescent="0.2">
      <c r="A529" s="2"/>
      <c r="B529" s="2"/>
      <c r="C529" s="2"/>
      <c r="D529" s="2"/>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row>
    <row r="530" spans="1:80" x14ac:dyDescent="0.2">
      <c r="A530" s="2"/>
      <c r="B530" s="2"/>
      <c r="C530" s="2"/>
      <c r="D530" s="2"/>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row>
    <row r="531" spans="1:80" x14ac:dyDescent="0.2">
      <c r="A531" s="2"/>
      <c r="B531" s="2"/>
      <c r="C531" s="2"/>
      <c r="D531" s="2"/>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row>
    <row r="532" spans="1:80" x14ac:dyDescent="0.2">
      <c r="A532" s="2"/>
      <c r="B532" s="2"/>
      <c r="C532" s="2"/>
      <c r="D532" s="2"/>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row>
    <row r="533" spans="1:80" x14ac:dyDescent="0.2">
      <c r="A533" s="2"/>
      <c r="B533" s="2"/>
      <c r="C533" s="2"/>
      <c r="D533" s="2"/>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row>
    <row r="534" spans="1:80" x14ac:dyDescent="0.2">
      <c r="A534" s="2"/>
      <c r="B534" s="2"/>
      <c r="C534" s="2"/>
      <c r="D534" s="2"/>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row>
    <row r="535" spans="1:80" x14ac:dyDescent="0.2">
      <c r="A535" s="2"/>
      <c r="B535" s="2"/>
      <c r="C535" s="2"/>
      <c r="D535" s="2"/>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row>
    <row r="536" spans="1:80" x14ac:dyDescent="0.2">
      <c r="A536" s="2"/>
      <c r="B536" s="2"/>
      <c r="C536" s="2"/>
      <c r="D536" s="2"/>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row>
    <row r="537" spans="1:80" x14ac:dyDescent="0.2">
      <c r="A537" s="2"/>
      <c r="B537" s="2"/>
      <c r="C537" s="2"/>
      <c r="D537" s="2"/>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row>
    <row r="538" spans="1:80" x14ac:dyDescent="0.2">
      <c r="A538" s="2"/>
      <c r="B538" s="2"/>
      <c r="C538" s="2"/>
      <c r="D538" s="2"/>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row>
    <row r="539" spans="1:80" x14ac:dyDescent="0.2">
      <c r="A539" s="2"/>
      <c r="B539" s="2"/>
      <c r="C539" s="2"/>
      <c r="D539" s="2"/>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row>
    <row r="540" spans="1:80" x14ac:dyDescent="0.2">
      <c r="A540" s="2"/>
      <c r="B540" s="2"/>
      <c r="C540" s="2"/>
      <c r="D540" s="2"/>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row>
    <row r="541" spans="1:80" x14ac:dyDescent="0.2">
      <c r="A541" s="2"/>
      <c r="B541" s="2"/>
      <c r="C541" s="2"/>
      <c r="D541" s="2"/>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row>
    <row r="542" spans="1:80" x14ac:dyDescent="0.2">
      <c r="A542" s="2"/>
      <c r="B542" s="2"/>
      <c r="C542" s="2"/>
      <c r="D542" s="2"/>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row>
    <row r="543" spans="1:80" x14ac:dyDescent="0.2">
      <c r="A543" s="2"/>
      <c r="B543" s="2"/>
      <c r="C543" s="2"/>
      <c r="D543" s="2"/>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row>
    <row r="544" spans="1:80" x14ac:dyDescent="0.2">
      <c r="A544" s="2"/>
      <c r="B544" s="2"/>
      <c r="C544" s="2"/>
      <c r="D544" s="2"/>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row>
    <row r="545" spans="1:80" x14ac:dyDescent="0.2">
      <c r="A545" s="2"/>
      <c r="B545" s="2"/>
      <c r="C545" s="2"/>
      <c r="D545" s="2"/>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row>
    <row r="546" spans="1:80" x14ac:dyDescent="0.2">
      <c r="A546" s="2"/>
      <c r="B546" s="2"/>
      <c r="C546" s="2"/>
      <c r="D546" s="2"/>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row>
    <row r="547" spans="1:80" x14ac:dyDescent="0.2">
      <c r="A547" s="2"/>
      <c r="B547" s="2"/>
      <c r="C547" s="2"/>
      <c r="D547" s="2"/>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row>
    <row r="548" spans="1:80" x14ac:dyDescent="0.2">
      <c r="A548" s="2"/>
      <c r="B548" s="2"/>
      <c r="C548" s="2"/>
      <c r="D548" s="2"/>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row>
    <row r="549" spans="1:80" x14ac:dyDescent="0.2">
      <c r="A549" s="2"/>
      <c r="B549" s="2"/>
      <c r="C549" s="2"/>
      <c r="D549" s="2"/>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row>
    <row r="550" spans="1:80" x14ac:dyDescent="0.2">
      <c r="A550" s="2"/>
      <c r="B550" s="2"/>
      <c r="C550" s="2"/>
      <c r="D550" s="2"/>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row>
    <row r="551" spans="1:80" x14ac:dyDescent="0.2">
      <c r="A551" s="2"/>
      <c r="B551" s="2"/>
      <c r="C551" s="2"/>
      <c r="D551" s="2"/>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row>
    <row r="552" spans="1:80" x14ac:dyDescent="0.2">
      <c r="A552" s="2"/>
      <c r="B552" s="2"/>
      <c r="C552" s="2"/>
      <c r="D552" s="2"/>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row>
    <row r="553" spans="1:80" x14ac:dyDescent="0.2">
      <c r="A553" s="2"/>
      <c r="B553" s="2"/>
      <c r="C553" s="2"/>
      <c r="D553" s="2"/>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row>
    <row r="554" spans="1:80" x14ac:dyDescent="0.2">
      <c r="A554" s="2"/>
      <c r="B554" s="2"/>
      <c r="C554" s="2"/>
      <c r="D554" s="2"/>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row>
    <row r="555" spans="1:80" x14ac:dyDescent="0.2">
      <c r="A555" s="2"/>
      <c r="B555" s="2"/>
      <c r="C555" s="2"/>
      <c r="D555" s="2"/>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row>
    <row r="556" spans="1:80" x14ac:dyDescent="0.2">
      <c r="A556" s="2"/>
      <c r="B556" s="2"/>
      <c r="C556" s="2"/>
      <c r="D556" s="2"/>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row>
    <row r="557" spans="1:80" x14ac:dyDescent="0.2">
      <c r="A557" s="2"/>
      <c r="B557" s="2"/>
      <c r="C557" s="2"/>
      <c r="D557" s="2"/>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row>
    <row r="558" spans="1:80" x14ac:dyDescent="0.2">
      <c r="A558" s="2"/>
      <c r="B558" s="2"/>
      <c r="C558" s="2"/>
      <c r="D558" s="2"/>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row>
    <row r="559" spans="1:80" x14ac:dyDescent="0.2">
      <c r="A559" s="2"/>
      <c r="B559" s="2"/>
      <c r="C559" s="2"/>
      <c r="D559" s="2"/>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row>
    <row r="560" spans="1:80" x14ac:dyDescent="0.2">
      <c r="A560" s="2"/>
      <c r="B560" s="2"/>
      <c r="C560" s="2"/>
      <c r="D560" s="2"/>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row>
    <row r="561" spans="1:80" x14ac:dyDescent="0.2">
      <c r="A561" s="2"/>
      <c r="B561" s="2"/>
      <c r="C561" s="2"/>
      <c r="D561" s="2"/>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row>
    <row r="562" spans="1:80" x14ac:dyDescent="0.2">
      <c r="A562" s="2"/>
      <c r="B562" s="2"/>
      <c r="C562" s="2"/>
      <c r="D562" s="2"/>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row>
    <row r="563" spans="1:80" x14ac:dyDescent="0.2">
      <c r="A563" s="2"/>
      <c r="B563" s="2"/>
      <c r="C563" s="2"/>
      <c r="D563" s="2"/>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row>
    <row r="564" spans="1:80" x14ac:dyDescent="0.2">
      <c r="A564" s="2"/>
      <c r="B564" s="2"/>
      <c r="C564" s="2"/>
      <c r="D564" s="2"/>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row>
    <row r="565" spans="1:80" x14ac:dyDescent="0.2">
      <c r="A565" s="2"/>
      <c r="B565" s="2"/>
      <c r="C565" s="2"/>
      <c r="D565" s="2"/>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row>
    <row r="566" spans="1:80" x14ac:dyDescent="0.2">
      <c r="A566" s="2"/>
      <c r="B566" s="2"/>
      <c r="C566" s="2"/>
      <c r="D566" s="2"/>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row>
    <row r="567" spans="1:80" x14ac:dyDescent="0.2">
      <c r="A567" s="2"/>
      <c r="B567" s="2"/>
      <c r="C567" s="2"/>
      <c r="D567" s="2"/>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row>
    <row r="568" spans="1:80" x14ac:dyDescent="0.2">
      <c r="A568" s="2"/>
      <c r="B568" s="2"/>
      <c r="C568" s="2"/>
      <c r="D568" s="2"/>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row>
    <row r="569" spans="1:80" x14ac:dyDescent="0.2">
      <c r="A569" s="2"/>
      <c r="B569" s="2"/>
      <c r="C569" s="2"/>
      <c r="D569" s="2"/>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row>
    <row r="570" spans="1:80" x14ac:dyDescent="0.2">
      <c r="A570" s="2"/>
      <c r="B570" s="2"/>
      <c r="C570" s="2"/>
      <c r="D570" s="2"/>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row>
    <row r="571" spans="1:80" x14ac:dyDescent="0.2">
      <c r="A571" s="2"/>
      <c r="B571" s="2"/>
      <c r="C571" s="2"/>
      <c r="D571" s="2"/>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row>
    <row r="572" spans="1:80" x14ac:dyDescent="0.2">
      <c r="A572" s="2"/>
      <c r="B572" s="2"/>
      <c r="C572" s="2"/>
      <c r="D572" s="2"/>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row>
    <row r="573" spans="1:80" x14ac:dyDescent="0.2">
      <c r="A573" s="2"/>
      <c r="B573" s="2"/>
      <c r="C573" s="2"/>
      <c r="D573" s="2"/>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row>
    <row r="574" spans="1:80" x14ac:dyDescent="0.2">
      <c r="A574" s="2"/>
      <c r="B574" s="2"/>
      <c r="C574" s="2"/>
      <c r="D574" s="2"/>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row>
    <row r="575" spans="1:80" x14ac:dyDescent="0.2">
      <c r="A575" s="2"/>
      <c r="B575" s="2"/>
      <c r="C575" s="2"/>
      <c r="D575" s="2"/>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row>
    <row r="576" spans="1:80" x14ac:dyDescent="0.2">
      <c r="A576" s="2"/>
      <c r="B576" s="2"/>
      <c r="C576" s="2"/>
      <c r="D576" s="2"/>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row>
    <row r="577" spans="1:80" x14ac:dyDescent="0.2">
      <c r="A577" s="2"/>
      <c r="B577" s="2"/>
      <c r="C577" s="2"/>
      <c r="D577" s="2"/>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row>
    <row r="578" spans="1:80" x14ac:dyDescent="0.2">
      <c r="A578" s="2"/>
      <c r="B578" s="2"/>
      <c r="C578" s="2"/>
      <c r="D578" s="2"/>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row>
    <row r="579" spans="1:80" x14ac:dyDescent="0.2">
      <c r="A579" s="2"/>
      <c r="B579" s="2"/>
      <c r="C579" s="2"/>
      <c r="D579" s="2"/>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row>
    <row r="580" spans="1:80" x14ac:dyDescent="0.2">
      <c r="A580" s="2"/>
      <c r="B580" s="2"/>
      <c r="C580" s="2"/>
      <c r="D580" s="2"/>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row>
    <row r="581" spans="1:80" x14ac:dyDescent="0.2">
      <c r="A581" s="2"/>
      <c r="B581" s="2"/>
      <c r="C581" s="2"/>
      <c r="D581" s="2"/>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row>
    <row r="582" spans="1:80" x14ac:dyDescent="0.2">
      <c r="A582" s="2"/>
      <c r="B582" s="2"/>
      <c r="C582" s="2"/>
      <c r="D582" s="2"/>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row>
    <row r="583" spans="1:80" x14ac:dyDescent="0.2">
      <c r="A583" s="2"/>
      <c r="B583" s="2"/>
      <c r="C583" s="2"/>
      <c r="D583" s="2"/>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row>
    <row r="584" spans="1:80" x14ac:dyDescent="0.2">
      <c r="A584" s="2"/>
      <c r="B584" s="2"/>
      <c r="C584" s="2"/>
      <c r="D584" s="2"/>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row>
    <row r="585" spans="1:80" x14ac:dyDescent="0.2">
      <c r="A585" s="2"/>
      <c r="B585" s="2"/>
      <c r="C585" s="2"/>
      <c r="D585" s="2"/>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row>
    <row r="586" spans="1:80" x14ac:dyDescent="0.2">
      <c r="A586" s="2"/>
      <c r="B586" s="2"/>
      <c r="C586" s="2"/>
      <c r="D586" s="2"/>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row>
    <row r="587" spans="1:80" x14ac:dyDescent="0.2">
      <c r="A587" s="2"/>
      <c r="B587" s="2"/>
      <c r="C587" s="2"/>
      <c r="D587" s="2"/>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row>
    <row r="588" spans="1:80" x14ac:dyDescent="0.2">
      <c r="A588" s="2"/>
      <c r="B588" s="2"/>
      <c r="C588" s="2"/>
      <c r="D588" s="2"/>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row>
    <row r="589" spans="1:80" x14ac:dyDescent="0.2">
      <c r="A589" s="2"/>
      <c r="B589" s="2"/>
      <c r="C589" s="2"/>
      <c r="D589" s="2"/>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row>
    <row r="590" spans="1:80" x14ac:dyDescent="0.2">
      <c r="A590" s="2"/>
      <c r="B590" s="2"/>
      <c r="C590" s="2"/>
      <c r="D590" s="2"/>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row>
    <row r="591" spans="1:80" x14ac:dyDescent="0.2">
      <c r="A591" s="2"/>
      <c r="B591" s="2"/>
      <c r="C591" s="2"/>
      <c r="D591" s="2"/>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row>
    <row r="592" spans="1:80" x14ac:dyDescent="0.2">
      <c r="A592" s="2"/>
      <c r="B592" s="2"/>
      <c r="C592" s="2"/>
      <c r="D592" s="2"/>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row>
    <row r="593" spans="1:80" x14ac:dyDescent="0.2">
      <c r="A593" s="2"/>
      <c r="B593" s="2"/>
      <c r="C593" s="2"/>
      <c r="D593" s="2"/>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row>
    <row r="594" spans="1:80" x14ac:dyDescent="0.2">
      <c r="A594" s="2"/>
      <c r="B594" s="2"/>
      <c r="C594" s="2"/>
      <c r="D594" s="2"/>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row>
    <row r="595" spans="1:80" x14ac:dyDescent="0.2">
      <c r="A595" s="2"/>
      <c r="B595" s="2"/>
      <c r="C595" s="2"/>
      <c r="D595" s="2"/>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row>
    <row r="596" spans="1:80" x14ac:dyDescent="0.2">
      <c r="A596" s="2"/>
      <c r="B596" s="2"/>
      <c r="C596" s="2"/>
      <c r="D596" s="2"/>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row>
    <row r="597" spans="1:80" x14ac:dyDescent="0.2">
      <c r="A597" s="2"/>
      <c r="B597" s="2"/>
      <c r="C597" s="2"/>
      <c r="D597" s="2"/>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row>
    <row r="598" spans="1:80" x14ac:dyDescent="0.2">
      <c r="A598" s="2"/>
      <c r="B598" s="2"/>
      <c r="C598" s="2"/>
      <c r="D598" s="2"/>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row>
    <row r="599" spans="1:80" x14ac:dyDescent="0.2">
      <c r="A599" s="2"/>
      <c r="B599" s="2"/>
      <c r="C599" s="2"/>
      <c r="D599" s="2"/>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row>
    <row r="600" spans="1:80" x14ac:dyDescent="0.2">
      <c r="A600" s="2"/>
      <c r="B600" s="2"/>
      <c r="C600" s="2"/>
      <c r="D600" s="2"/>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row>
    <row r="601" spans="1:80" x14ac:dyDescent="0.2">
      <c r="A601" s="2"/>
      <c r="B601" s="2"/>
      <c r="C601" s="2"/>
      <c r="D601" s="2"/>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row>
    <row r="602" spans="1:80" x14ac:dyDescent="0.2">
      <c r="A602" s="2"/>
      <c r="B602" s="2"/>
      <c r="C602" s="2"/>
      <c r="D602" s="2"/>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row>
    <row r="603" spans="1:80" x14ac:dyDescent="0.2">
      <c r="A603" s="2"/>
      <c r="B603" s="2"/>
      <c r="C603" s="2"/>
      <c r="D603" s="2"/>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row>
    <row r="604" spans="1:80" x14ac:dyDescent="0.2">
      <c r="A604" s="2"/>
      <c r="B604" s="2"/>
      <c r="C604" s="2"/>
      <c r="D604" s="2"/>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row>
    <row r="605" spans="1:80" x14ac:dyDescent="0.2">
      <c r="A605" s="2"/>
      <c r="B605" s="2"/>
      <c r="C605" s="2"/>
      <c r="D605" s="2"/>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row>
    <row r="606" spans="1:80" x14ac:dyDescent="0.2">
      <c r="A606" s="2"/>
      <c r="B606" s="2"/>
      <c r="C606" s="2"/>
      <c r="D606" s="2"/>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row>
    <row r="607" spans="1:80" x14ac:dyDescent="0.2">
      <c r="A607" s="2"/>
      <c r="B607" s="2"/>
      <c r="C607" s="2"/>
      <c r="D607" s="2"/>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row>
    <row r="608" spans="1:80" x14ac:dyDescent="0.2">
      <c r="A608" s="2"/>
      <c r="B608" s="2"/>
      <c r="C608" s="2"/>
      <c r="D608" s="2"/>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row>
    <row r="609" spans="1:80" x14ac:dyDescent="0.2">
      <c r="A609" s="2"/>
      <c r="B609" s="2"/>
      <c r="C609" s="2"/>
      <c r="D609" s="2"/>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row>
    <row r="610" spans="1:80" x14ac:dyDescent="0.2">
      <c r="A610" s="2"/>
      <c r="B610" s="2"/>
      <c r="C610" s="2"/>
      <c r="D610" s="2"/>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row>
    <row r="611" spans="1:80" x14ac:dyDescent="0.2">
      <c r="A611" s="2"/>
      <c r="B611" s="2"/>
      <c r="C611" s="2"/>
      <c r="D611" s="2"/>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row>
    <row r="612" spans="1:80" x14ac:dyDescent="0.2">
      <c r="A612" s="2"/>
      <c r="B612" s="2"/>
      <c r="C612" s="2"/>
      <c r="D612" s="2"/>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row>
    <row r="613" spans="1:80" x14ac:dyDescent="0.2">
      <c r="A613" s="2"/>
      <c r="B613" s="2"/>
      <c r="C613" s="2"/>
      <c r="D613" s="2"/>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row>
    <row r="614" spans="1:80" x14ac:dyDescent="0.2">
      <c r="A614" s="2"/>
      <c r="B614" s="2"/>
      <c r="C614" s="2"/>
      <c r="D614" s="2"/>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row>
    <row r="615" spans="1:80" x14ac:dyDescent="0.2">
      <c r="A615" s="2"/>
      <c r="B615" s="2"/>
      <c r="C615" s="2"/>
      <c r="D615" s="2"/>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row>
    <row r="616" spans="1:80" x14ac:dyDescent="0.2">
      <c r="A616" s="2"/>
      <c r="B616" s="2"/>
      <c r="C616" s="2"/>
      <c r="D616" s="2"/>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row>
    <row r="617" spans="1:80" x14ac:dyDescent="0.2">
      <c r="A617" s="2"/>
      <c r="B617" s="2"/>
      <c r="C617" s="2"/>
      <c r="D617" s="2"/>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row>
    <row r="618" spans="1:80" x14ac:dyDescent="0.2">
      <c r="A618" s="2"/>
      <c r="B618" s="2"/>
      <c r="C618" s="2"/>
      <c r="D618" s="2"/>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row>
    <row r="619" spans="1:80" x14ac:dyDescent="0.2">
      <c r="A619" s="2"/>
      <c r="B619" s="2"/>
      <c r="C619" s="2"/>
      <c r="D619" s="2"/>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row>
    <row r="620" spans="1:80" x14ac:dyDescent="0.2">
      <c r="A620" s="2"/>
      <c r="B620" s="2"/>
      <c r="C620" s="2"/>
      <c r="D620" s="2"/>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row>
    <row r="621" spans="1:80" x14ac:dyDescent="0.2">
      <c r="A621" s="2"/>
      <c r="B621" s="2"/>
      <c r="C621" s="2"/>
      <c r="D621" s="2"/>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row>
    <row r="622" spans="1:80" x14ac:dyDescent="0.2">
      <c r="A622" s="2"/>
      <c r="B622" s="2"/>
      <c r="C622" s="2"/>
      <c r="D622" s="2"/>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row>
    <row r="623" spans="1:80" x14ac:dyDescent="0.2">
      <c r="A623" s="2"/>
      <c r="B623" s="2"/>
      <c r="C623" s="2"/>
      <c r="D623" s="2"/>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row>
    <row r="624" spans="1:80" x14ac:dyDescent="0.2">
      <c r="A624" s="2"/>
      <c r="B624" s="2"/>
      <c r="C624" s="2"/>
      <c r="D624" s="2"/>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row>
    <row r="625" spans="1:80" x14ac:dyDescent="0.2">
      <c r="A625" s="2"/>
      <c r="B625" s="2"/>
      <c r="C625" s="2"/>
      <c r="D625" s="2"/>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row>
    <row r="626" spans="1:80" x14ac:dyDescent="0.2">
      <c r="A626" s="2"/>
      <c r="B626" s="2"/>
      <c r="C626" s="2"/>
      <c r="D626" s="2"/>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row>
    <row r="627" spans="1:80" x14ac:dyDescent="0.2">
      <c r="A627" s="2"/>
      <c r="B627" s="2"/>
      <c r="C627" s="2"/>
      <c r="D627" s="2"/>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row>
    <row r="628" spans="1:80" x14ac:dyDescent="0.2">
      <c r="A628" s="2"/>
      <c r="B628" s="2"/>
      <c r="C628" s="2"/>
      <c r="D628" s="2"/>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row>
    <row r="629" spans="1:80" x14ac:dyDescent="0.2">
      <c r="A629" s="2"/>
      <c r="B629" s="2"/>
      <c r="C629" s="2"/>
      <c r="D629" s="2"/>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row>
    <row r="630" spans="1:80" x14ac:dyDescent="0.2">
      <c r="A630" s="2"/>
      <c r="B630" s="2"/>
      <c r="C630" s="2"/>
      <c r="D630" s="2"/>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row>
    <row r="631" spans="1:80" x14ac:dyDescent="0.2">
      <c r="A631" s="2"/>
      <c r="B631" s="2"/>
      <c r="C631" s="2"/>
      <c r="D631" s="2"/>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row>
    <row r="632" spans="1:80" x14ac:dyDescent="0.2">
      <c r="A632" s="2"/>
      <c r="B632" s="2"/>
      <c r="C632" s="2"/>
      <c r="D632" s="2"/>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row>
    <row r="633" spans="1:80" x14ac:dyDescent="0.2">
      <c r="A633" s="2"/>
      <c r="B633" s="2"/>
      <c r="C633" s="2"/>
      <c r="D633" s="2"/>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row>
    <row r="634" spans="1:80" x14ac:dyDescent="0.2">
      <c r="A634" s="2"/>
      <c r="B634" s="2"/>
      <c r="C634" s="2"/>
      <c r="D634" s="2"/>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row>
    <row r="635" spans="1:80" x14ac:dyDescent="0.2">
      <c r="A635" s="2"/>
      <c r="B635" s="2"/>
      <c r="C635" s="2"/>
      <c r="D635" s="2"/>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row>
    <row r="636" spans="1:80" x14ac:dyDescent="0.2">
      <c r="A636" s="2"/>
      <c r="B636" s="2"/>
      <c r="C636" s="2"/>
      <c r="D636" s="2"/>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row>
    <row r="637" spans="1:80" x14ac:dyDescent="0.2">
      <c r="A637" s="2"/>
      <c r="B637" s="2"/>
      <c r="C637" s="2"/>
      <c r="D637" s="2"/>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row>
    <row r="638" spans="1:80" x14ac:dyDescent="0.2">
      <c r="A638" s="2"/>
      <c r="B638" s="2"/>
      <c r="C638" s="2"/>
      <c r="D638" s="2"/>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row>
    <row r="639" spans="1:80" x14ac:dyDescent="0.2">
      <c r="A639" s="2"/>
      <c r="B639" s="2"/>
      <c r="C639" s="2"/>
      <c r="D639" s="2"/>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row>
    <row r="640" spans="1:80" x14ac:dyDescent="0.2">
      <c r="A640" s="2"/>
      <c r="B640" s="2"/>
      <c r="C640" s="2"/>
      <c r="D640" s="2"/>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row>
    <row r="641" spans="1:80" x14ac:dyDescent="0.2">
      <c r="A641" s="2"/>
      <c r="B641" s="2"/>
      <c r="C641" s="2"/>
      <c r="D641" s="2"/>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row>
    <row r="642" spans="1:80" x14ac:dyDescent="0.2">
      <c r="A642" s="2"/>
      <c r="B642" s="2"/>
      <c r="C642" s="2"/>
      <c r="D642" s="2"/>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row>
    <row r="643" spans="1:80" x14ac:dyDescent="0.2">
      <c r="A643" s="2"/>
      <c r="B643" s="2"/>
      <c r="C643" s="2"/>
      <c r="D643" s="2"/>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row>
    <row r="644" spans="1:80" x14ac:dyDescent="0.2">
      <c r="A644" s="2"/>
      <c r="B644" s="2"/>
      <c r="C644" s="2"/>
      <c r="D644" s="2"/>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row>
    <row r="645" spans="1:80" x14ac:dyDescent="0.2">
      <c r="A645" s="2"/>
      <c r="B645" s="2"/>
      <c r="C645" s="2"/>
      <c r="D645" s="2"/>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row>
    <row r="646" spans="1:80" x14ac:dyDescent="0.2">
      <c r="A646" s="2"/>
      <c r="B646" s="2"/>
      <c r="C646" s="2"/>
      <c r="D646" s="2"/>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row>
    <row r="647" spans="1:80" x14ac:dyDescent="0.2">
      <c r="A647" s="2"/>
      <c r="B647" s="2"/>
      <c r="C647" s="2"/>
      <c r="D647" s="2"/>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row>
    <row r="648" spans="1:80" x14ac:dyDescent="0.2">
      <c r="A648" s="2"/>
      <c r="B648" s="2"/>
      <c r="C648" s="2"/>
      <c r="D648" s="2"/>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row>
    <row r="649" spans="1:80" x14ac:dyDescent="0.2">
      <c r="A649" s="2"/>
      <c r="B649" s="2"/>
      <c r="C649" s="2"/>
      <c r="D649" s="2"/>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row>
    <row r="650" spans="1:80" x14ac:dyDescent="0.2">
      <c r="A650" s="2"/>
      <c r="B650" s="2"/>
      <c r="C650" s="2"/>
      <c r="D650" s="2"/>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row>
    <row r="651" spans="1:80" x14ac:dyDescent="0.2">
      <c r="A651" s="2"/>
      <c r="B651" s="2"/>
      <c r="C651" s="2"/>
      <c r="D651" s="2"/>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row>
    <row r="652" spans="1:80" x14ac:dyDescent="0.2">
      <c r="A652" s="2"/>
      <c r="B652" s="2"/>
      <c r="C652" s="2"/>
      <c r="D652" s="2"/>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row>
    <row r="653" spans="1:80" x14ac:dyDescent="0.2">
      <c r="A653" s="2"/>
      <c r="B653" s="2"/>
      <c r="C653" s="2"/>
      <c r="D653" s="2"/>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row>
    <row r="654" spans="1:80" x14ac:dyDescent="0.2">
      <c r="A654" s="2"/>
      <c r="B654" s="2"/>
      <c r="C654" s="2"/>
      <c r="D654" s="2"/>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row>
    <row r="655" spans="1:80" x14ac:dyDescent="0.2">
      <c r="A655" s="2"/>
      <c r="B655" s="2"/>
      <c r="C655" s="2"/>
      <c r="D655" s="2"/>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row>
    <row r="656" spans="1:80" x14ac:dyDescent="0.2">
      <c r="A656" s="2"/>
      <c r="B656" s="2"/>
      <c r="C656" s="2"/>
      <c r="D656" s="2"/>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row>
    <row r="657" spans="1:80" x14ac:dyDescent="0.2">
      <c r="A657" s="2"/>
      <c r="B657" s="2"/>
      <c r="C657" s="2"/>
      <c r="D657" s="2"/>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row>
    <row r="658" spans="1:80" x14ac:dyDescent="0.2">
      <c r="A658" s="2"/>
      <c r="B658" s="2"/>
      <c r="C658" s="2"/>
      <c r="D658" s="2"/>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row>
    <row r="659" spans="1:80" x14ac:dyDescent="0.2">
      <c r="A659" s="2"/>
      <c r="B659" s="2"/>
      <c r="C659" s="2"/>
      <c r="D659" s="2"/>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row>
    <row r="660" spans="1:80" x14ac:dyDescent="0.2">
      <c r="A660" s="2"/>
      <c r="B660" s="2"/>
      <c r="C660" s="2"/>
      <c r="D660" s="2"/>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row>
    <row r="661" spans="1:80" x14ac:dyDescent="0.2">
      <c r="A661" s="2"/>
      <c r="B661" s="2"/>
      <c r="C661" s="2"/>
      <c r="D661" s="2"/>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row>
    <row r="662" spans="1:80" x14ac:dyDescent="0.2">
      <c r="A662" s="2"/>
      <c r="B662" s="2"/>
      <c r="C662" s="2"/>
      <c r="D662" s="2"/>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row>
    <row r="663" spans="1:80" x14ac:dyDescent="0.2">
      <c r="A663" s="2"/>
      <c r="B663" s="2"/>
      <c r="C663" s="2"/>
      <c r="D663" s="2"/>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row>
    <row r="664" spans="1:80" x14ac:dyDescent="0.2">
      <c r="A664" s="2"/>
      <c r="B664" s="2"/>
      <c r="C664" s="2"/>
      <c r="D664" s="2"/>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row>
    <row r="665" spans="1:80" x14ac:dyDescent="0.2">
      <c r="A665" s="2"/>
      <c r="B665" s="2"/>
      <c r="C665" s="2"/>
      <c r="D665" s="2"/>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row>
    <row r="666" spans="1:80" x14ac:dyDescent="0.2">
      <c r="A666" s="2"/>
      <c r="B666" s="2"/>
      <c r="C666" s="2"/>
      <c r="D666" s="2"/>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row>
    <row r="667" spans="1:80" x14ac:dyDescent="0.2">
      <c r="A667" s="2"/>
      <c r="B667" s="2"/>
      <c r="C667" s="2"/>
      <c r="D667" s="2"/>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row>
    <row r="668" spans="1:80" x14ac:dyDescent="0.2">
      <c r="A668" s="2"/>
      <c r="B668" s="2"/>
      <c r="C668" s="2"/>
      <c r="D668" s="2"/>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row>
    <row r="669" spans="1:80" x14ac:dyDescent="0.2">
      <c r="A669" s="2"/>
      <c r="B669" s="2"/>
      <c r="C669" s="2"/>
      <c r="D669" s="2"/>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row>
    <row r="670" spans="1:80" x14ac:dyDescent="0.2">
      <c r="A670" s="2"/>
      <c r="B670" s="2"/>
      <c r="C670" s="2"/>
      <c r="D670" s="2"/>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row>
    <row r="671" spans="1:80" x14ac:dyDescent="0.2">
      <c r="A671" s="2"/>
      <c r="B671" s="2"/>
      <c r="C671" s="2"/>
      <c r="D671" s="2"/>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row>
    <row r="672" spans="1:80" x14ac:dyDescent="0.2">
      <c r="A672" s="2"/>
      <c r="B672" s="2"/>
      <c r="C672" s="2"/>
      <c r="D672" s="2"/>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row>
    <row r="673" spans="1:80" x14ac:dyDescent="0.2">
      <c r="A673" s="2"/>
      <c r="B673" s="2"/>
      <c r="C673" s="2"/>
      <c r="D673" s="2"/>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row>
    <row r="674" spans="1:80" x14ac:dyDescent="0.2">
      <c r="A674" s="2"/>
      <c r="B674" s="2"/>
      <c r="C674" s="2"/>
      <c r="D674" s="2"/>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row>
    <row r="675" spans="1:80" x14ac:dyDescent="0.2">
      <c r="A675" s="2"/>
      <c r="B675" s="2"/>
      <c r="C675" s="2"/>
      <c r="D675" s="2"/>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row>
    <row r="676" spans="1:80" x14ac:dyDescent="0.2">
      <c r="A676" s="2"/>
      <c r="B676" s="2"/>
      <c r="C676" s="2"/>
      <c r="D676" s="2"/>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row>
    <row r="677" spans="1:80" x14ac:dyDescent="0.2">
      <c r="A677" s="2"/>
      <c r="B677" s="2"/>
      <c r="C677" s="2"/>
      <c r="D677" s="2"/>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row>
    <row r="678" spans="1:80" x14ac:dyDescent="0.2">
      <c r="A678" s="2"/>
      <c r="B678" s="2"/>
      <c r="C678" s="2"/>
      <c r="D678" s="2"/>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row>
    <row r="679" spans="1:80" x14ac:dyDescent="0.2">
      <c r="A679" s="2"/>
      <c r="B679" s="2"/>
      <c r="C679" s="2"/>
      <c r="D679" s="2"/>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row>
    <row r="680" spans="1:80" x14ac:dyDescent="0.2">
      <c r="A680" s="2"/>
      <c r="B680" s="2"/>
      <c r="C680" s="2"/>
      <c r="D680" s="2"/>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row>
    <row r="681" spans="1:80" x14ac:dyDescent="0.2">
      <c r="A681" s="2"/>
      <c r="B681" s="2"/>
      <c r="C681" s="2"/>
      <c r="D681" s="2"/>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row>
    <row r="682" spans="1:80" x14ac:dyDescent="0.2">
      <c r="A682" s="2"/>
      <c r="B682" s="2"/>
      <c r="C682" s="2"/>
      <c r="D682" s="2"/>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row>
    <row r="683" spans="1:80" x14ac:dyDescent="0.2">
      <c r="A683" s="2"/>
      <c r="B683" s="2"/>
      <c r="C683" s="2"/>
      <c r="D683" s="2"/>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row>
    <row r="684" spans="1:80" x14ac:dyDescent="0.2">
      <c r="A684" s="2"/>
      <c r="B684" s="2"/>
      <c r="C684" s="2"/>
      <c r="D684" s="2"/>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row>
    <row r="685" spans="1:80" x14ac:dyDescent="0.2">
      <c r="A685" s="2"/>
      <c r="B685" s="2"/>
      <c r="C685" s="2"/>
      <c r="D685" s="2"/>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row>
    <row r="686" spans="1:80" x14ac:dyDescent="0.2">
      <c r="A686" s="2"/>
      <c r="B686" s="2"/>
      <c r="C686" s="2"/>
      <c r="D686" s="2"/>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row>
    <row r="687" spans="1:80" x14ac:dyDescent="0.2">
      <c r="A687" s="2"/>
      <c r="B687" s="2"/>
      <c r="C687" s="2"/>
      <c r="D687" s="2"/>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row>
    <row r="688" spans="1:80" x14ac:dyDescent="0.2">
      <c r="A688" s="2"/>
      <c r="B688" s="2"/>
      <c r="C688" s="2"/>
      <c r="D688" s="2"/>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row>
    <row r="689" spans="1:80" x14ac:dyDescent="0.2">
      <c r="A689" s="2"/>
      <c r="B689" s="2"/>
      <c r="C689" s="2"/>
      <c r="D689" s="2"/>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row>
    <row r="690" spans="1:80" x14ac:dyDescent="0.2">
      <c r="A690" s="2"/>
      <c r="B690" s="2"/>
      <c r="C690" s="2"/>
      <c r="D690" s="2"/>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row>
    <row r="691" spans="1:80" x14ac:dyDescent="0.2">
      <c r="A691" s="2"/>
      <c r="B691" s="2"/>
      <c r="C691" s="2"/>
      <c r="D691" s="2"/>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row>
    <row r="692" spans="1:80" x14ac:dyDescent="0.2">
      <c r="A692" s="2"/>
      <c r="B692" s="2"/>
      <c r="C692" s="2"/>
      <c r="D692" s="2"/>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row>
    <row r="693" spans="1:80" x14ac:dyDescent="0.2">
      <c r="A693" s="2"/>
      <c r="B693" s="2"/>
      <c r="C693" s="2"/>
      <c r="D693" s="2"/>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row>
    <row r="694" spans="1:80" x14ac:dyDescent="0.2">
      <c r="A694" s="2"/>
      <c r="B694" s="2"/>
      <c r="C694" s="2"/>
      <c r="D694" s="2"/>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row>
    <row r="695" spans="1:80" x14ac:dyDescent="0.2">
      <c r="A695" s="2"/>
      <c r="B695" s="2"/>
      <c r="C695" s="2"/>
      <c r="D695" s="2"/>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row>
    <row r="696" spans="1:80" x14ac:dyDescent="0.2">
      <c r="A696" s="2"/>
      <c r="B696" s="2"/>
      <c r="C696" s="2"/>
      <c r="D696" s="2"/>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row>
    <row r="697" spans="1:80" x14ac:dyDescent="0.2">
      <c r="A697" s="2"/>
      <c r="B697" s="2"/>
      <c r="C697" s="2"/>
      <c r="D697" s="2"/>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row>
    <row r="698" spans="1:80" x14ac:dyDescent="0.2">
      <c r="A698" s="2"/>
      <c r="B698" s="2"/>
      <c r="C698" s="2"/>
      <c r="D698" s="2"/>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row>
    <row r="699" spans="1:80" x14ac:dyDescent="0.2">
      <c r="A699" s="2"/>
      <c r="B699" s="2"/>
      <c r="C699" s="2"/>
      <c r="D699" s="2"/>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row>
    <row r="700" spans="1:80" x14ac:dyDescent="0.2">
      <c r="A700" s="2"/>
      <c r="B700" s="2"/>
      <c r="C700" s="2"/>
      <c r="D700" s="2"/>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row>
    <row r="701" spans="1:80" x14ac:dyDescent="0.2">
      <c r="A701" s="2"/>
      <c r="B701" s="2"/>
      <c r="C701" s="2"/>
      <c r="D701" s="2"/>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row>
    <row r="702" spans="1:80" x14ac:dyDescent="0.2">
      <c r="A702" s="2"/>
      <c r="B702" s="2"/>
      <c r="C702" s="2"/>
      <c r="D702" s="2"/>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row>
    <row r="703" spans="1:80" x14ac:dyDescent="0.2">
      <c r="A703" s="2"/>
      <c r="B703" s="2"/>
      <c r="C703" s="2"/>
      <c r="D703" s="2"/>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row>
    <row r="704" spans="1:80" x14ac:dyDescent="0.2">
      <c r="A704" s="2"/>
      <c r="B704" s="2"/>
      <c r="C704" s="2"/>
      <c r="D704" s="2"/>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row>
    <row r="705" spans="1:80" x14ac:dyDescent="0.2">
      <c r="A705" s="2"/>
      <c r="B705" s="2"/>
      <c r="C705" s="2"/>
      <c r="D705" s="2"/>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row>
    <row r="706" spans="1:80" x14ac:dyDescent="0.2">
      <c r="A706" s="2"/>
      <c r="B706" s="2"/>
      <c r="C706" s="2"/>
      <c r="D706" s="2"/>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row>
    <row r="707" spans="1:80" x14ac:dyDescent="0.2">
      <c r="A707" s="2"/>
      <c r="B707" s="2"/>
      <c r="C707" s="2"/>
      <c r="D707" s="2"/>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row>
    <row r="708" spans="1:80" x14ac:dyDescent="0.2">
      <c r="A708" s="2"/>
      <c r="B708" s="2"/>
      <c r="C708" s="2"/>
      <c r="D708" s="2"/>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row>
    <row r="709" spans="1:80" x14ac:dyDescent="0.2">
      <c r="A709" s="2"/>
      <c r="B709" s="2"/>
      <c r="C709" s="2"/>
      <c r="D709" s="2"/>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row>
    <row r="710" spans="1:80" x14ac:dyDescent="0.2">
      <c r="A710" s="2"/>
      <c r="B710" s="2"/>
      <c r="C710" s="2"/>
      <c r="D710" s="2"/>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row>
    <row r="711" spans="1:80" x14ac:dyDescent="0.2">
      <c r="A711" s="2"/>
      <c r="B711" s="2"/>
      <c r="C711" s="2"/>
      <c r="D711" s="2"/>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row>
    <row r="712" spans="1:80" x14ac:dyDescent="0.2">
      <c r="A712" s="2"/>
      <c r="B712" s="2"/>
      <c r="C712" s="2"/>
      <c r="D712" s="2"/>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row>
    <row r="713" spans="1:80" x14ac:dyDescent="0.2">
      <c r="A713" s="2"/>
      <c r="B713" s="2"/>
      <c r="C713" s="2"/>
      <c r="D713" s="2"/>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row>
    <row r="714" spans="1:80" x14ac:dyDescent="0.2">
      <c r="A714" s="2"/>
      <c r="B714" s="2"/>
      <c r="C714" s="2"/>
      <c r="D714" s="2"/>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row>
    <row r="715" spans="1:80" x14ac:dyDescent="0.2">
      <c r="A715" s="2"/>
      <c r="B715" s="2"/>
      <c r="C715" s="2"/>
      <c r="D715" s="2"/>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row>
    <row r="716" spans="1:80" x14ac:dyDescent="0.2">
      <c r="A716" s="2"/>
      <c r="B716" s="2"/>
      <c r="C716" s="2"/>
      <c r="D716" s="2"/>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row>
    <row r="717" spans="1:80" x14ac:dyDescent="0.2">
      <c r="A717" s="2"/>
      <c r="B717" s="2"/>
      <c r="C717" s="2"/>
      <c r="D717" s="2"/>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row>
    <row r="718" spans="1:80" x14ac:dyDescent="0.2">
      <c r="A718" s="2"/>
      <c r="B718" s="2"/>
      <c r="C718" s="2"/>
      <c r="D718" s="2"/>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row>
    <row r="719" spans="1:80" x14ac:dyDescent="0.2">
      <c r="A719" s="2"/>
      <c r="B719" s="2"/>
      <c r="C719" s="2"/>
      <c r="D719" s="2"/>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row>
    <row r="720" spans="1:80" x14ac:dyDescent="0.2">
      <c r="A720" s="2"/>
      <c r="B720" s="2"/>
      <c r="C720" s="2"/>
      <c r="D720" s="2"/>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row>
    <row r="721" spans="1:80" x14ac:dyDescent="0.2">
      <c r="A721" s="2"/>
      <c r="B721" s="2"/>
      <c r="C721" s="2"/>
      <c r="D721" s="2"/>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row>
    <row r="722" spans="1:80" x14ac:dyDescent="0.2">
      <c r="A722" s="2"/>
      <c r="B722" s="2"/>
      <c r="C722" s="2"/>
      <c r="D722" s="2"/>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row>
    <row r="723" spans="1:80" x14ac:dyDescent="0.2">
      <c r="A723" s="2"/>
      <c r="B723" s="2"/>
      <c r="C723" s="2"/>
      <c r="D723" s="2"/>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row>
    <row r="724" spans="1:80" x14ac:dyDescent="0.2">
      <c r="A724" s="2"/>
      <c r="B724" s="2"/>
      <c r="C724" s="2"/>
      <c r="D724" s="2"/>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row>
    <row r="725" spans="1:80" x14ac:dyDescent="0.2">
      <c r="A725" s="2"/>
      <c r="B725" s="2"/>
      <c r="C725" s="2"/>
      <c r="D725" s="2"/>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row>
    <row r="726" spans="1:80" x14ac:dyDescent="0.2">
      <c r="A726" s="2"/>
      <c r="B726" s="2"/>
      <c r="C726" s="2"/>
      <c r="D726" s="2"/>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row>
    <row r="727" spans="1:80" x14ac:dyDescent="0.2">
      <c r="A727" s="2"/>
      <c r="B727" s="2"/>
      <c r="C727" s="2"/>
      <c r="D727" s="2"/>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row>
    <row r="728" spans="1:80" x14ac:dyDescent="0.2">
      <c r="A728" s="2"/>
      <c r="B728" s="2"/>
      <c r="C728" s="2"/>
      <c r="D728" s="2"/>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row>
    <row r="729" spans="1:80" x14ac:dyDescent="0.2">
      <c r="A729" s="2"/>
      <c r="B729" s="2"/>
      <c r="C729" s="2"/>
      <c r="D729" s="2"/>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row>
    <row r="730" spans="1:80" x14ac:dyDescent="0.2">
      <c r="A730" s="2"/>
      <c r="B730" s="2"/>
      <c r="C730" s="2"/>
      <c r="D730" s="2"/>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row>
    <row r="731" spans="1:80" x14ac:dyDescent="0.2">
      <c r="A731" s="2"/>
      <c r="B731" s="2"/>
      <c r="C731" s="2"/>
      <c r="D731" s="2"/>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row>
    <row r="732" spans="1:80" x14ac:dyDescent="0.2">
      <c r="A732" s="2"/>
      <c r="B732" s="2"/>
      <c r="C732" s="2"/>
      <c r="D732" s="2"/>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row>
    <row r="733" spans="1:80" x14ac:dyDescent="0.2">
      <c r="A733" s="2"/>
      <c r="B733" s="2"/>
      <c r="C733" s="2"/>
      <c r="D733" s="2"/>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row>
    <row r="734" spans="1:80" x14ac:dyDescent="0.2">
      <c r="A734" s="2"/>
      <c r="B734" s="2"/>
      <c r="C734" s="2"/>
      <c r="D734" s="2"/>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row>
    <row r="735" spans="1:80" x14ac:dyDescent="0.2">
      <c r="A735" s="2"/>
      <c r="B735" s="2"/>
      <c r="C735" s="2"/>
      <c r="D735" s="2"/>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row>
    <row r="736" spans="1:80" x14ac:dyDescent="0.2">
      <c r="A736" s="2"/>
      <c r="B736" s="2"/>
      <c r="C736" s="2"/>
      <c r="D736" s="2"/>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row>
    <row r="737" spans="1:80" x14ac:dyDescent="0.2">
      <c r="A737" s="2"/>
      <c r="B737" s="2"/>
      <c r="C737" s="2"/>
      <c r="D737" s="2"/>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row>
    <row r="738" spans="1:80" x14ac:dyDescent="0.2">
      <c r="A738" s="2"/>
      <c r="B738" s="2"/>
      <c r="C738" s="2"/>
      <c r="D738" s="2"/>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row>
    <row r="739" spans="1:80" x14ac:dyDescent="0.2">
      <c r="A739" s="2"/>
      <c r="B739" s="2"/>
      <c r="C739" s="2"/>
      <c r="D739" s="2"/>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row>
    <row r="740" spans="1:80" x14ac:dyDescent="0.2">
      <c r="A740" s="2"/>
      <c r="B740" s="2"/>
      <c r="C740" s="2"/>
      <c r="D740" s="2"/>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row>
    <row r="741" spans="1:80" x14ac:dyDescent="0.2">
      <c r="A741" s="2"/>
      <c r="B741" s="2"/>
      <c r="C741" s="2"/>
      <c r="D741" s="2"/>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row>
    <row r="742" spans="1:80" x14ac:dyDescent="0.2">
      <c r="A742" s="2"/>
      <c r="B742" s="2"/>
      <c r="C742" s="2"/>
      <c r="D742" s="2"/>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row>
    <row r="743" spans="1:80" x14ac:dyDescent="0.2">
      <c r="A743" s="2"/>
      <c r="B743" s="2"/>
      <c r="C743" s="2"/>
      <c r="D743" s="2"/>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row>
    <row r="744" spans="1:80" x14ac:dyDescent="0.2">
      <c r="A744" s="2"/>
      <c r="B744" s="2"/>
      <c r="C744" s="2"/>
      <c r="D744" s="2"/>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row>
    <row r="745" spans="1:80" x14ac:dyDescent="0.2">
      <c r="A745" s="2"/>
      <c r="B745" s="2"/>
      <c r="C745" s="2"/>
      <c r="D745" s="2"/>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row>
    <row r="746" spans="1:80" x14ac:dyDescent="0.2">
      <c r="A746" s="2"/>
      <c r="B746" s="2"/>
      <c r="C746" s="2"/>
      <c r="D746" s="2"/>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row>
    <row r="747" spans="1:80" x14ac:dyDescent="0.2">
      <c r="A747" s="2"/>
      <c r="B747" s="2"/>
      <c r="C747" s="2"/>
      <c r="D747" s="2"/>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row>
    <row r="748" spans="1:80" x14ac:dyDescent="0.2">
      <c r="A748" s="2"/>
      <c r="B748" s="2"/>
      <c r="C748" s="2"/>
      <c r="D748" s="2"/>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row>
    <row r="749" spans="1:80" x14ac:dyDescent="0.2">
      <c r="A749" s="2"/>
      <c r="B749" s="2"/>
      <c r="C749" s="2"/>
      <c r="D749" s="2"/>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row>
    <row r="750" spans="1:80" x14ac:dyDescent="0.2">
      <c r="A750" s="2"/>
      <c r="B750" s="2"/>
      <c r="C750" s="2"/>
      <c r="D750" s="2"/>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row>
    <row r="751" spans="1:80" x14ac:dyDescent="0.2">
      <c r="A751" s="2"/>
      <c r="B751" s="2"/>
      <c r="C751" s="2"/>
      <c r="D751" s="2"/>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row>
    <row r="752" spans="1:80" x14ac:dyDescent="0.2">
      <c r="A752" s="2"/>
      <c r="B752" s="2"/>
      <c r="C752" s="2"/>
      <c r="D752" s="2"/>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row>
    <row r="753" spans="1:80" x14ac:dyDescent="0.2">
      <c r="A753" s="2"/>
      <c r="B753" s="2"/>
      <c r="C753" s="2"/>
      <c r="D753" s="2"/>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row>
    <row r="754" spans="1:80" x14ac:dyDescent="0.2">
      <c r="A754" s="2"/>
      <c r="B754" s="2"/>
      <c r="C754" s="2"/>
      <c r="D754" s="2"/>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row>
    <row r="755" spans="1:80" x14ac:dyDescent="0.2">
      <c r="A755" s="2"/>
      <c r="B755" s="2"/>
      <c r="C755" s="2"/>
      <c r="D755" s="2"/>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row>
    <row r="756" spans="1:80" x14ac:dyDescent="0.2">
      <c r="A756" s="2"/>
      <c r="B756" s="2"/>
      <c r="C756" s="2"/>
      <c r="D756" s="2"/>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row>
    <row r="757" spans="1:80" x14ac:dyDescent="0.2">
      <c r="A757" s="2"/>
      <c r="B757" s="2"/>
      <c r="C757" s="2"/>
      <c r="D757" s="2"/>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row>
    <row r="758" spans="1:80" x14ac:dyDescent="0.2">
      <c r="A758" s="2"/>
      <c r="B758" s="2"/>
      <c r="C758" s="2"/>
      <c r="D758" s="2"/>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row>
    <row r="759" spans="1:80" x14ac:dyDescent="0.2">
      <c r="A759" s="2"/>
      <c r="B759" s="2"/>
      <c r="C759" s="2"/>
      <c r="D759" s="2"/>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row>
    <row r="760" spans="1:80" x14ac:dyDescent="0.2">
      <c r="A760" s="2"/>
      <c r="B760" s="2"/>
      <c r="C760" s="2"/>
      <c r="D760" s="2"/>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row>
    <row r="761" spans="1:80" x14ac:dyDescent="0.2">
      <c r="A761" s="2"/>
      <c r="B761" s="2"/>
      <c r="C761" s="2"/>
      <c r="D761" s="2"/>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row>
    <row r="762" spans="1:80" x14ac:dyDescent="0.2">
      <c r="A762" s="2"/>
      <c r="B762" s="2"/>
      <c r="C762" s="2"/>
      <c r="D762" s="2"/>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row>
    <row r="763" spans="1:80" x14ac:dyDescent="0.2">
      <c r="A763" s="2"/>
      <c r="B763" s="2"/>
      <c r="C763" s="2"/>
      <c r="D763" s="2"/>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row>
    <row r="764" spans="1:80" x14ac:dyDescent="0.2">
      <c r="A764" s="2"/>
      <c r="B764" s="2"/>
      <c r="C764" s="2"/>
      <c r="D764" s="2"/>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row>
    <row r="765" spans="1:80" x14ac:dyDescent="0.2">
      <c r="A765" s="2"/>
      <c r="B765" s="2"/>
      <c r="C765" s="2"/>
      <c r="D765" s="2"/>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row>
    <row r="766" spans="1:80" x14ac:dyDescent="0.2">
      <c r="A766" s="2"/>
      <c r="B766" s="2"/>
      <c r="C766" s="2"/>
      <c r="D766" s="2"/>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row>
    <row r="767" spans="1:80" x14ac:dyDescent="0.2">
      <c r="A767" s="2"/>
      <c r="B767" s="2"/>
      <c r="C767" s="2"/>
      <c r="D767" s="2"/>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row>
    <row r="768" spans="1:80" x14ac:dyDescent="0.2">
      <c r="A768" s="2"/>
      <c r="B768" s="2"/>
      <c r="C768" s="2"/>
      <c r="D768" s="2"/>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row>
    <row r="769" spans="1:80" x14ac:dyDescent="0.2">
      <c r="A769" s="2"/>
      <c r="B769" s="2"/>
      <c r="C769" s="2"/>
      <c r="D769" s="2"/>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row>
    <row r="770" spans="1:80" x14ac:dyDescent="0.2">
      <c r="A770" s="2"/>
      <c r="B770" s="2"/>
      <c r="C770" s="2"/>
      <c r="D770" s="2"/>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row>
    <row r="771" spans="1:80" x14ac:dyDescent="0.2">
      <c r="A771" s="2"/>
      <c r="B771" s="2"/>
      <c r="C771" s="2"/>
      <c r="D771" s="2"/>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row>
    <row r="772" spans="1:80" x14ac:dyDescent="0.2">
      <c r="A772" s="2"/>
      <c r="B772" s="2"/>
      <c r="C772" s="2"/>
      <c r="D772" s="2"/>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row>
    <row r="773" spans="1:80" x14ac:dyDescent="0.2">
      <c r="A773" s="2"/>
      <c r="B773" s="2"/>
      <c r="C773" s="2"/>
      <c r="D773" s="2"/>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row>
    <row r="774" spans="1:80" x14ac:dyDescent="0.2">
      <c r="A774" s="2"/>
      <c r="B774" s="2"/>
      <c r="C774" s="2"/>
      <c r="D774" s="2"/>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row>
    <row r="775" spans="1:80" x14ac:dyDescent="0.2">
      <c r="A775" s="2"/>
      <c r="B775" s="2"/>
      <c r="C775" s="2"/>
      <c r="D775" s="2"/>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row>
    <row r="776" spans="1:80" x14ac:dyDescent="0.2">
      <c r="A776" s="2"/>
      <c r="B776" s="2"/>
      <c r="C776" s="2"/>
      <c r="D776" s="2"/>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row>
    <row r="777" spans="1:80" x14ac:dyDescent="0.2">
      <c r="A777" s="2"/>
      <c r="B777" s="2"/>
      <c r="C777" s="2"/>
      <c r="D777" s="2"/>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row>
    <row r="778" spans="1:80" x14ac:dyDescent="0.2">
      <c r="A778" s="2"/>
      <c r="B778" s="2"/>
      <c r="C778" s="2"/>
      <c r="D778" s="2"/>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row>
    <row r="779" spans="1:80" x14ac:dyDescent="0.2">
      <c r="A779" s="2"/>
      <c r="B779" s="2"/>
      <c r="C779" s="2"/>
      <c r="D779" s="2"/>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row>
    <row r="780" spans="1:80" x14ac:dyDescent="0.2">
      <c r="A780" s="2"/>
      <c r="B780" s="2"/>
      <c r="C780" s="2"/>
      <c r="D780" s="2"/>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row>
    <row r="781" spans="1:80" x14ac:dyDescent="0.2">
      <c r="A781" s="2"/>
      <c r="B781" s="2"/>
      <c r="C781" s="2"/>
      <c r="D781" s="2"/>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row>
    <row r="782" spans="1:80" x14ac:dyDescent="0.2">
      <c r="A782" s="2"/>
      <c r="B782" s="2"/>
      <c r="C782" s="2"/>
      <c r="D782" s="2"/>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row>
    <row r="783" spans="1:80" x14ac:dyDescent="0.2">
      <c r="A783" s="2"/>
      <c r="B783" s="2"/>
      <c r="C783" s="2"/>
      <c r="D783" s="2"/>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row>
    <row r="784" spans="1:80" x14ac:dyDescent="0.2">
      <c r="A784" s="2"/>
      <c r="B784" s="2"/>
      <c r="C784" s="2"/>
      <c r="D784" s="2"/>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row>
    <row r="785" spans="1:80" x14ac:dyDescent="0.2">
      <c r="A785" s="2"/>
      <c r="B785" s="2"/>
      <c r="C785" s="2"/>
      <c r="D785" s="2"/>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row>
    <row r="786" spans="1:80" x14ac:dyDescent="0.2">
      <c r="A786" s="2"/>
      <c r="B786" s="2"/>
      <c r="C786" s="2"/>
      <c r="D786" s="2"/>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row>
    <row r="787" spans="1:80" x14ac:dyDescent="0.2">
      <c r="A787" s="2"/>
      <c r="B787" s="2"/>
      <c r="C787" s="2"/>
      <c r="D787" s="2"/>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row>
    <row r="788" spans="1:80" x14ac:dyDescent="0.2">
      <c r="A788" s="2"/>
      <c r="B788" s="2"/>
      <c r="C788" s="2"/>
      <c r="D788" s="2"/>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row>
    <row r="789" spans="1:80" x14ac:dyDescent="0.2">
      <c r="A789" s="2"/>
      <c r="B789" s="2"/>
      <c r="C789" s="2"/>
      <c r="D789" s="2"/>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row>
    <row r="790" spans="1:80" x14ac:dyDescent="0.2">
      <c r="A790" s="2"/>
      <c r="B790" s="2"/>
      <c r="C790" s="2"/>
      <c r="D790" s="2"/>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row>
    <row r="791" spans="1:80" x14ac:dyDescent="0.2">
      <c r="A791" s="2"/>
      <c r="B791" s="2"/>
      <c r="C791" s="2"/>
      <c r="D791" s="2"/>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row>
    <row r="792" spans="1:80" x14ac:dyDescent="0.2">
      <c r="A792" s="2"/>
      <c r="B792" s="2"/>
      <c r="C792" s="2"/>
      <c r="D792" s="2"/>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row>
    <row r="793" spans="1:80" x14ac:dyDescent="0.2">
      <c r="A793" s="2"/>
      <c r="B793" s="2"/>
      <c r="C793" s="2"/>
      <c r="D793" s="2"/>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row>
    <row r="794" spans="1:80" x14ac:dyDescent="0.2">
      <c r="A794" s="2"/>
      <c r="B794" s="2"/>
      <c r="C794" s="2"/>
      <c r="D794" s="2"/>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row>
    <row r="795" spans="1:80" x14ac:dyDescent="0.2">
      <c r="A795" s="2"/>
      <c r="B795" s="2"/>
      <c r="C795" s="2"/>
      <c r="D795" s="2"/>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row>
    <row r="796" spans="1:80" x14ac:dyDescent="0.2">
      <c r="A796" s="2"/>
      <c r="B796" s="2"/>
      <c r="C796" s="2"/>
      <c r="D796" s="2"/>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row>
    <row r="797" spans="1:80" x14ac:dyDescent="0.2">
      <c r="A797" s="2"/>
      <c r="B797" s="2"/>
      <c r="C797" s="2"/>
      <c r="D797" s="2"/>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row>
    <row r="798" spans="1:80" x14ac:dyDescent="0.2">
      <c r="A798" s="2"/>
      <c r="B798" s="2"/>
      <c r="C798" s="2"/>
      <c r="D798" s="2"/>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row>
    <row r="799" spans="1:80" x14ac:dyDescent="0.2">
      <c r="A799" s="2"/>
      <c r="B799" s="2"/>
      <c r="C799" s="2"/>
      <c r="D799" s="2"/>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row>
    <row r="800" spans="1:80" x14ac:dyDescent="0.2">
      <c r="A800" s="2"/>
      <c r="B800" s="2"/>
      <c r="C800" s="2"/>
      <c r="D800" s="2"/>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row>
    <row r="801" spans="1:80" x14ac:dyDescent="0.2">
      <c r="A801" s="2"/>
      <c r="B801" s="2"/>
      <c r="C801" s="2"/>
      <c r="D801" s="2"/>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row>
    <row r="802" spans="1:80" x14ac:dyDescent="0.2">
      <c r="A802" s="2"/>
      <c r="B802" s="2"/>
      <c r="C802" s="2"/>
      <c r="D802" s="2"/>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row>
    <row r="803" spans="1:80" x14ac:dyDescent="0.2">
      <c r="A803" s="2"/>
      <c r="B803" s="2"/>
      <c r="C803" s="2"/>
      <c r="D803" s="2"/>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row>
    <row r="804" spans="1:80" x14ac:dyDescent="0.2">
      <c r="A804" s="2"/>
      <c r="B804" s="2"/>
      <c r="C804" s="2"/>
      <c r="D804" s="2"/>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row>
    <row r="805" spans="1:80" x14ac:dyDescent="0.2">
      <c r="A805" s="2"/>
      <c r="B805" s="2"/>
      <c r="C805" s="2"/>
      <c r="D805" s="2"/>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row>
    <row r="806" spans="1:80" x14ac:dyDescent="0.2">
      <c r="A806" s="2"/>
      <c r="B806" s="2"/>
      <c r="C806" s="2"/>
      <c r="D806" s="2"/>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row>
    <row r="807" spans="1:80" x14ac:dyDescent="0.2">
      <c r="A807" s="2"/>
      <c r="B807" s="2"/>
      <c r="C807" s="2"/>
      <c r="D807" s="2"/>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row>
    <row r="808" spans="1:80" x14ac:dyDescent="0.2">
      <c r="A808" s="2"/>
      <c r="B808" s="2"/>
      <c r="C808" s="2"/>
      <c r="D808" s="2"/>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row>
    <row r="809" spans="1:80" x14ac:dyDescent="0.2">
      <c r="A809" s="2"/>
      <c r="B809" s="2"/>
      <c r="C809" s="2"/>
      <c r="D809" s="2"/>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row>
    <row r="810" spans="1:80" x14ac:dyDescent="0.2">
      <c r="A810" s="2"/>
      <c r="B810" s="2"/>
      <c r="C810" s="2"/>
      <c r="D810" s="2"/>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row>
    <row r="811" spans="1:80" x14ac:dyDescent="0.2">
      <c r="A811" s="2"/>
      <c r="B811" s="2"/>
      <c r="C811" s="2"/>
      <c r="D811" s="2"/>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row>
    <row r="812" spans="1:80" x14ac:dyDescent="0.2">
      <c r="A812" s="2"/>
      <c r="B812" s="2"/>
      <c r="C812" s="2"/>
      <c r="D812" s="2"/>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row>
    <row r="813" spans="1:80" x14ac:dyDescent="0.2">
      <c r="A813" s="2"/>
      <c r="B813" s="2"/>
      <c r="C813" s="2"/>
      <c r="D813" s="2"/>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row>
    <row r="814" spans="1:80" x14ac:dyDescent="0.2">
      <c r="A814" s="2"/>
      <c r="B814" s="2"/>
      <c r="C814" s="2"/>
      <c r="D814" s="2"/>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row>
    <row r="815" spans="1:80" x14ac:dyDescent="0.2">
      <c r="A815" s="2"/>
      <c r="B815" s="2"/>
      <c r="C815" s="2"/>
      <c r="D815" s="2"/>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row>
    <row r="816" spans="1:80" x14ac:dyDescent="0.2">
      <c r="A816" s="2"/>
      <c r="B816" s="2"/>
      <c r="C816" s="2"/>
      <c r="D816" s="2"/>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row>
    <row r="817" spans="1:80" x14ac:dyDescent="0.2">
      <c r="A817" s="2"/>
      <c r="B817" s="2"/>
      <c r="C817" s="2"/>
      <c r="D817" s="2"/>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row>
    <row r="818" spans="1:80" x14ac:dyDescent="0.2">
      <c r="A818" s="2"/>
      <c r="B818" s="2"/>
      <c r="C818" s="2"/>
      <c r="D818" s="2"/>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row>
    <row r="819" spans="1:80" x14ac:dyDescent="0.2">
      <c r="A819" s="2"/>
      <c r="B819" s="2"/>
      <c r="C819" s="2"/>
      <c r="D819" s="2"/>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row>
    <row r="820" spans="1:80" x14ac:dyDescent="0.2">
      <c r="A820" s="2"/>
      <c r="B820" s="2"/>
      <c r="C820" s="2"/>
      <c r="D820" s="2"/>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row>
    <row r="821" spans="1:80" x14ac:dyDescent="0.2">
      <c r="A821" s="2"/>
      <c r="B821" s="2"/>
      <c r="C821" s="2"/>
      <c r="D821" s="2"/>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row>
    <row r="822" spans="1:80" x14ac:dyDescent="0.2">
      <c r="A822" s="2"/>
      <c r="B822" s="2"/>
      <c r="C822" s="2"/>
      <c r="D822" s="2"/>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row>
    <row r="823" spans="1:80" x14ac:dyDescent="0.2">
      <c r="A823" s="2"/>
      <c r="B823" s="2"/>
      <c r="C823" s="2"/>
      <c r="D823" s="2"/>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row>
    <row r="824" spans="1:80" x14ac:dyDescent="0.2">
      <c r="A824" s="2"/>
      <c r="B824" s="2"/>
      <c r="C824" s="2"/>
      <c r="D824" s="2"/>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row>
    <row r="825" spans="1:80" x14ac:dyDescent="0.2">
      <c r="A825" s="2"/>
      <c r="B825" s="2"/>
      <c r="C825" s="2"/>
      <c r="D825" s="2"/>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row>
    <row r="826" spans="1:80" x14ac:dyDescent="0.2">
      <c r="A826" s="2"/>
      <c r="B826" s="2"/>
      <c r="C826" s="2"/>
      <c r="D826" s="2"/>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row>
    <row r="827" spans="1:80" x14ac:dyDescent="0.2">
      <c r="A827" s="2"/>
      <c r="B827" s="2"/>
      <c r="C827" s="2"/>
      <c r="D827" s="2"/>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row>
    <row r="828" spans="1:80" x14ac:dyDescent="0.2">
      <c r="A828" s="2"/>
      <c r="B828" s="2"/>
      <c r="C828" s="2"/>
      <c r="D828" s="2"/>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row>
    <row r="829" spans="1:80" x14ac:dyDescent="0.2">
      <c r="A829" s="2"/>
      <c r="B829" s="2"/>
      <c r="C829" s="2"/>
      <c r="D829" s="2"/>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row>
    <row r="830" spans="1:80" x14ac:dyDescent="0.2">
      <c r="A830" s="2"/>
      <c r="B830" s="2"/>
      <c r="C830" s="2"/>
      <c r="D830" s="2"/>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row>
    <row r="831" spans="1:80" x14ac:dyDescent="0.2">
      <c r="A831" s="2"/>
      <c r="B831" s="2"/>
      <c r="C831" s="2"/>
      <c r="D831" s="2"/>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row>
    <row r="832" spans="1:80" x14ac:dyDescent="0.2">
      <c r="A832" s="2"/>
      <c r="B832" s="2"/>
      <c r="C832" s="2"/>
      <c r="D832" s="2"/>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row>
    <row r="833" spans="1:80" x14ac:dyDescent="0.2">
      <c r="A833" s="2"/>
      <c r="B833" s="2"/>
      <c r="C833" s="2"/>
      <c r="D833" s="2"/>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row>
    <row r="834" spans="1:80" x14ac:dyDescent="0.2">
      <c r="A834" s="2"/>
      <c r="B834" s="2"/>
      <c r="C834" s="2"/>
      <c r="D834" s="2"/>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row>
    <row r="835" spans="1:80" x14ac:dyDescent="0.2">
      <c r="A835" s="2"/>
      <c r="B835" s="2"/>
      <c r="C835" s="2"/>
      <c r="D835" s="2"/>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row>
    <row r="836" spans="1:80" x14ac:dyDescent="0.2">
      <c r="A836" s="2"/>
      <c r="B836" s="2"/>
      <c r="C836" s="2"/>
      <c r="D836" s="2"/>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row>
    <row r="837" spans="1:80" x14ac:dyDescent="0.2">
      <c r="A837" s="2"/>
      <c r="B837" s="2"/>
      <c r="C837" s="2"/>
      <c r="D837" s="2"/>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row>
    <row r="838" spans="1:80" x14ac:dyDescent="0.2">
      <c r="A838" s="2"/>
      <c r="B838" s="2"/>
      <c r="C838" s="2"/>
      <c r="D838" s="2"/>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row>
    <row r="839" spans="1:80" x14ac:dyDescent="0.2">
      <c r="A839" s="2"/>
      <c r="B839" s="2"/>
      <c r="C839" s="2"/>
      <c r="D839" s="2"/>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row>
    <row r="840" spans="1:80" x14ac:dyDescent="0.2">
      <c r="A840" s="2"/>
      <c r="B840" s="2"/>
      <c r="C840" s="2"/>
      <c r="D840" s="2"/>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row>
    <row r="841" spans="1:80" x14ac:dyDescent="0.2">
      <c r="A841" s="2"/>
      <c r="B841" s="2"/>
      <c r="C841" s="2"/>
      <c r="D841" s="2"/>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row>
    <row r="842" spans="1:80" x14ac:dyDescent="0.2">
      <c r="A842" s="2"/>
      <c r="B842" s="2"/>
      <c r="C842" s="2"/>
      <c r="D842" s="2"/>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row>
    <row r="843" spans="1:80" x14ac:dyDescent="0.2">
      <c r="A843" s="2"/>
      <c r="B843" s="2"/>
      <c r="C843" s="2"/>
      <c r="D843" s="2"/>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row>
    <row r="844" spans="1:80" x14ac:dyDescent="0.2">
      <c r="A844" s="2"/>
      <c r="B844" s="2"/>
      <c r="C844" s="2"/>
      <c r="D844" s="2"/>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row>
    <row r="845" spans="1:80" x14ac:dyDescent="0.2">
      <c r="A845" s="2"/>
      <c r="B845" s="2"/>
      <c r="C845" s="2"/>
      <c r="D845" s="2"/>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row>
    <row r="846" spans="1:80" x14ac:dyDescent="0.2">
      <c r="A846" s="2"/>
      <c r="B846" s="2"/>
      <c r="C846" s="2"/>
      <c r="D846" s="2"/>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row>
    <row r="847" spans="1:80" x14ac:dyDescent="0.2">
      <c r="A847" s="2"/>
      <c r="B847" s="2"/>
      <c r="C847" s="2"/>
      <c r="D847" s="2"/>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row>
    <row r="848" spans="1:80" x14ac:dyDescent="0.2">
      <c r="A848" s="2"/>
      <c r="B848" s="2"/>
      <c r="C848" s="2"/>
      <c r="D848" s="2"/>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row>
    <row r="849" spans="1:80" x14ac:dyDescent="0.2">
      <c r="A849" s="2"/>
      <c r="B849" s="2"/>
      <c r="C849" s="2"/>
      <c r="D849" s="2"/>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row>
    <row r="850" spans="1:80" x14ac:dyDescent="0.2">
      <c r="A850" s="2"/>
      <c r="B850" s="2"/>
      <c r="C850" s="2"/>
      <c r="D850" s="2"/>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row>
    <row r="851" spans="1:80" x14ac:dyDescent="0.2">
      <c r="A851" s="2"/>
      <c r="B851" s="2"/>
      <c r="C851" s="2"/>
      <c r="D851" s="2"/>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row>
    <row r="852" spans="1:80" x14ac:dyDescent="0.2">
      <c r="A852" s="2"/>
      <c r="B852" s="2"/>
      <c r="C852" s="2"/>
      <c r="D852" s="2"/>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row>
    <row r="853" spans="1:80" x14ac:dyDescent="0.2">
      <c r="A853" s="2"/>
      <c r="B853" s="2"/>
      <c r="C853" s="2"/>
      <c r="D853" s="2"/>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row>
    <row r="854" spans="1:80" x14ac:dyDescent="0.2">
      <c r="A854" s="2"/>
      <c r="B854" s="2"/>
      <c r="C854" s="2"/>
      <c r="D854" s="2"/>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row>
    <row r="855" spans="1:80" x14ac:dyDescent="0.2">
      <c r="A855" s="2"/>
      <c r="B855" s="2"/>
      <c r="C855" s="2"/>
      <c r="D855" s="2"/>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row>
    <row r="856" spans="1:80" x14ac:dyDescent="0.2">
      <c r="A856" s="2"/>
      <c r="B856" s="2"/>
      <c r="C856" s="2"/>
      <c r="D856" s="2"/>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row>
    <row r="857" spans="1:80" x14ac:dyDescent="0.2">
      <c r="A857" s="2"/>
      <c r="B857" s="2"/>
      <c r="C857" s="2"/>
      <c r="D857" s="2"/>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row>
    <row r="858" spans="1:80" x14ac:dyDescent="0.2">
      <c r="A858" s="2"/>
      <c r="B858" s="2"/>
      <c r="C858" s="2"/>
      <c r="D858" s="2"/>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row>
    <row r="859" spans="1:80" x14ac:dyDescent="0.2">
      <c r="A859" s="2"/>
      <c r="B859" s="2"/>
      <c r="C859" s="2"/>
      <c r="D859" s="2"/>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row>
    <row r="860" spans="1:80" x14ac:dyDescent="0.2">
      <c r="A860" s="2"/>
      <c r="B860" s="2"/>
      <c r="C860" s="2"/>
      <c r="D860" s="2"/>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row>
    <row r="861" spans="1:80" x14ac:dyDescent="0.2">
      <c r="A861" s="2"/>
      <c r="B861" s="2"/>
      <c r="C861" s="2"/>
      <c r="D861" s="2"/>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row>
    <row r="862" spans="1:80" x14ac:dyDescent="0.2">
      <c r="A862" s="2"/>
      <c r="B862" s="2"/>
      <c r="C862" s="2"/>
      <c r="D862" s="2"/>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row>
    <row r="863" spans="1:80" x14ac:dyDescent="0.2">
      <c r="A863" s="2"/>
      <c r="B863" s="2"/>
      <c r="C863" s="2"/>
      <c r="D863" s="2"/>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row>
    <row r="864" spans="1:80" x14ac:dyDescent="0.2">
      <c r="A864" s="2"/>
      <c r="B864" s="2"/>
      <c r="C864" s="2"/>
      <c r="D864" s="2"/>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row>
    <row r="865" spans="1:80" x14ac:dyDescent="0.2">
      <c r="A865" s="2"/>
      <c r="B865" s="2"/>
      <c r="C865" s="2"/>
      <c r="D865" s="2"/>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row>
    <row r="866" spans="1:80" x14ac:dyDescent="0.2">
      <c r="A866" s="2"/>
      <c r="B866" s="2"/>
      <c r="C866" s="2"/>
      <c r="D866" s="2"/>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row>
    <row r="867" spans="1:80" x14ac:dyDescent="0.2">
      <c r="A867" s="2"/>
      <c r="B867" s="2"/>
      <c r="C867" s="2"/>
      <c r="D867" s="2"/>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row>
    <row r="868" spans="1:80" x14ac:dyDescent="0.2">
      <c r="A868" s="2"/>
      <c r="B868" s="2"/>
      <c r="C868" s="2"/>
      <c r="D868" s="2"/>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row>
    <row r="869" spans="1:80" x14ac:dyDescent="0.2">
      <c r="A869" s="2"/>
      <c r="B869" s="2"/>
      <c r="C869" s="2"/>
      <c r="D869" s="2"/>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row>
    <row r="870" spans="1:80" x14ac:dyDescent="0.2">
      <c r="A870" s="2"/>
      <c r="B870" s="2"/>
      <c r="C870" s="2"/>
      <c r="D870" s="2"/>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row>
    <row r="871" spans="1:80" x14ac:dyDescent="0.2">
      <c r="A871" s="2"/>
      <c r="B871" s="2"/>
      <c r="C871" s="2"/>
      <c r="D871" s="2"/>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row>
    <row r="872" spans="1:80" x14ac:dyDescent="0.2">
      <c r="A872" s="2"/>
      <c r="B872" s="2"/>
      <c r="C872" s="2"/>
      <c r="D872" s="2"/>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row>
    <row r="873" spans="1:80" x14ac:dyDescent="0.2">
      <c r="A873" s="2"/>
      <c r="B873" s="2"/>
      <c r="C873" s="2"/>
      <c r="D873" s="2"/>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row>
    <row r="874" spans="1:80" x14ac:dyDescent="0.2">
      <c r="A874" s="2"/>
      <c r="B874" s="2"/>
      <c r="C874" s="2"/>
      <c r="D874" s="2"/>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row>
    <row r="875" spans="1:80" x14ac:dyDescent="0.2">
      <c r="A875" s="2"/>
      <c r="B875" s="2"/>
      <c r="C875" s="2"/>
      <c r="D875" s="2"/>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row>
    <row r="876" spans="1:80" x14ac:dyDescent="0.2">
      <c r="A876" s="2"/>
      <c r="B876" s="2"/>
      <c r="C876" s="2"/>
      <c r="D876" s="2"/>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row>
    <row r="877" spans="1:80" x14ac:dyDescent="0.2">
      <c r="A877" s="2"/>
      <c r="B877" s="2"/>
      <c r="C877" s="2"/>
      <c r="D877" s="2"/>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row>
    <row r="878" spans="1:80" x14ac:dyDescent="0.2">
      <c r="A878" s="2"/>
      <c r="B878" s="2"/>
      <c r="C878" s="2"/>
      <c r="D878" s="2"/>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row>
    <row r="879" spans="1:80" x14ac:dyDescent="0.2">
      <c r="A879" s="2"/>
      <c r="B879" s="2"/>
      <c r="C879" s="2"/>
      <c r="D879" s="2"/>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row>
    <row r="880" spans="1:80" x14ac:dyDescent="0.2">
      <c r="A880" s="2"/>
      <c r="B880" s="2"/>
      <c r="C880" s="2"/>
      <c r="D880" s="2"/>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row>
    <row r="881" spans="1:80" x14ac:dyDescent="0.2">
      <c r="A881" s="2"/>
      <c r="B881" s="2"/>
      <c r="C881" s="2"/>
      <c r="D881" s="2"/>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row>
    <row r="882" spans="1:80" x14ac:dyDescent="0.2">
      <c r="A882" s="2"/>
      <c r="B882" s="2"/>
      <c r="C882" s="2"/>
      <c r="D882" s="2"/>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row>
    <row r="883" spans="1:80" x14ac:dyDescent="0.2">
      <c r="A883" s="2"/>
      <c r="B883" s="2"/>
      <c r="C883" s="2"/>
      <c r="D883" s="2"/>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row>
    <row r="884" spans="1:80" x14ac:dyDescent="0.2">
      <c r="A884" s="2"/>
      <c r="B884" s="2"/>
      <c r="C884" s="2"/>
      <c r="D884" s="2"/>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row>
    <row r="885" spans="1:80" x14ac:dyDescent="0.2">
      <c r="A885" s="2"/>
      <c r="B885" s="2"/>
      <c r="C885" s="2"/>
      <c r="D885" s="2"/>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row>
    <row r="886" spans="1:80" x14ac:dyDescent="0.2">
      <c r="A886" s="2"/>
      <c r="B886" s="2"/>
      <c r="C886" s="2"/>
      <c r="D886" s="2"/>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row>
    <row r="887" spans="1:80" x14ac:dyDescent="0.2">
      <c r="A887" s="2"/>
      <c r="B887" s="2"/>
      <c r="C887" s="2"/>
      <c r="D887" s="2"/>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row>
    <row r="888" spans="1:80" x14ac:dyDescent="0.2">
      <c r="A888" s="2"/>
      <c r="B888" s="2"/>
      <c r="C888" s="2"/>
      <c r="D888" s="2"/>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row>
    <row r="889" spans="1:80" x14ac:dyDescent="0.2">
      <c r="A889" s="2"/>
      <c r="B889" s="2"/>
      <c r="C889" s="2"/>
      <c r="D889" s="2"/>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row>
    <row r="890" spans="1:80" x14ac:dyDescent="0.2">
      <c r="A890" s="2"/>
      <c r="B890" s="2"/>
      <c r="C890" s="2"/>
      <c r="D890" s="2"/>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row>
    <row r="891" spans="1:80" x14ac:dyDescent="0.2">
      <c r="A891" s="2"/>
      <c r="B891" s="2"/>
      <c r="C891" s="2"/>
      <c r="D891" s="2"/>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row>
    <row r="892" spans="1:80" x14ac:dyDescent="0.2">
      <c r="A892" s="2"/>
      <c r="B892" s="2"/>
      <c r="C892" s="2"/>
      <c r="D892" s="2"/>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row>
    <row r="893" spans="1:80" x14ac:dyDescent="0.2">
      <c r="A893" s="2"/>
      <c r="B893" s="2"/>
      <c r="C893" s="2"/>
      <c r="D893" s="2"/>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row>
    <row r="894" spans="1:80" x14ac:dyDescent="0.2">
      <c r="A894" s="2"/>
      <c r="B894" s="2"/>
      <c r="C894" s="2"/>
      <c r="D894" s="2"/>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row>
    <row r="895" spans="1:80" x14ac:dyDescent="0.2">
      <c r="A895" s="2"/>
      <c r="B895" s="2"/>
      <c r="C895" s="2"/>
      <c r="D895" s="2"/>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row>
    <row r="896" spans="1:80" x14ac:dyDescent="0.2">
      <c r="A896" s="2"/>
      <c r="B896" s="2"/>
      <c r="C896" s="2"/>
      <c r="D896" s="2"/>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row>
    <row r="897" spans="1:80" x14ac:dyDescent="0.2">
      <c r="A897" s="2"/>
      <c r="B897" s="2"/>
      <c r="C897" s="2"/>
      <c r="D897" s="2"/>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row>
    <row r="898" spans="1:80" x14ac:dyDescent="0.2">
      <c r="A898" s="2"/>
      <c r="B898" s="2"/>
      <c r="C898" s="2"/>
      <c r="D898" s="2"/>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row>
    <row r="899" spans="1:80" x14ac:dyDescent="0.2">
      <c r="A899" s="2"/>
      <c r="B899" s="2"/>
      <c r="C899" s="2"/>
      <c r="D899" s="2"/>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row>
    <row r="900" spans="1:80" x14ac:dyDescent="0.2">
      <c r="A900" s="2"/>
      <c r="B900" s="2"/>
      <c r="C900" s="2"/>
      <c r="D900" s="2"/>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row>
    <row r="901" spans="1:80" x14ac:dyDescent="0.2">
      <c r="A901" s="2"/>
      <c r="B901" s="2"/>
      <c r="C901" s="2"/>
      <c r="D901" s="2"/>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row>
    <row r="902" spans="1:80" x14ac:dyDescent="0.2">
      <c r="A902" s="2"/>
      <c r="B902" s="2"/>
      <c r="C902" s="2"/>
      <c r="D902" s="2"/>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row>
    <row r="903" spans="1:80" x14ac:dyDescent="0.2">
      <c r="A903" s="2"/>
      <c r="B903" s="2"/>
      <c r="C903" s="2"/>
      <c r="D903" s="2"/>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row>
    <row r="904" spans="1:80" x14ac:dyDescent="0.2">
      <c r="A904" s="2"/>
      <c r="B904" s="2"/>
      <c r="C904" s="2"/>
      <c r="D904" s="2"/>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row>
    <row r="905" spans="1:80" x14ac:dyDescent="0.2">
      <c r="A905" s="2"/>
      <c r="B905" s="2"/>
      <c r="C905" s="2"/>
      <c r="D905" s="2"/>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row>
    <row r="906" spans="1:80" x14ac:dyDescent="0.2">
      <c r="A906" s="2"/>
      <c r="B906" s="2"/>
      <c r="C906" s="2"/>
      <c r="D906" s="2"/>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row>
    <row r="907" spans="1:80" x14ac:dyDescent="0.2">
      <c r="A907" s="2"/>
      <c r="B907" s="2"/>
      <c r="C907" s="2"/>
      <c r="D907" s="2"/>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row>
    <row r="908" spans="1:80" x14ac:dyDescent="0.2">
      <c r="A908" s="2"/>
      <c r="B908" s="2"/>
      <c r="C908" s="2"/>
      <c r="D908" s="2"/>
    </row>
    <row r="909" spans="1:80" x14ac:dyDescent="0.2">
      <c r="A909" s="2"/>
      <c r="B909" s="2"/>
      <c r="C909" s="2"/>
      <c r="D909" s="2"/>
    </row>
    <row r="910" spans="1:80" x14ac:dyDescent="0.2">
      <c r="A910" s="2"/>
      <c r="B910" s="2"/>
      <c r="C910" s="2"/>
      <c r="D910" s="2"/>
    </row>
    <row r="911" spans="1:80" x14ac:dyDescent="0.2">
      <c r="A911" s="2"/>
      <c r="B911" s="2"/>
      <c r="C911" s="2"/>
      <c r="D911" s="2"/>
    </row>
    <row r="912" spans="1:80" x14ac:dyDescent="0.2">
      <c r="A912" s="2"/>
      <c r="B912" s="2"/>
      <c r="C912" s="2"/>
      <c r="D912" s="2"/>
    </row>
    <row r="913" s="2" customFormat="1" x14ac:dyDescent="0.2"/>
    <row r="914" s="2" customFormat="1" x14ac:dyDescent="0.2"/>
    <row r="915" s="2" customFormat="1" x14ac:dyDescent="0.2"/>
    <row r="916" s="2" customFormat="1" x14ac:dyDescent="0.2"/>
    <row r="917" s="2" customFormat="1" x14ac:dyDescent="0.2"/>
    <row r="918" s="2" customFormat="1" x14ac:dyDescent="0.2"/>
    <row r="919" s="2" customFormat="1" x14ac:dyDescent="0.2"/>
    <row r="920" s="2" customFormat="1" x14ac:dyDescent="0.2"/>
    <row r="921" s="2" customFormat="1" x14ac:dyDescent="0.2"/>
    <row r="922" s="2" customFormat="1" x14ac:dyDescent="0.2"/>
    <row r="923" s="2" customFormat="1" x14ac:dyDescent="0.2"/>
    <row r="924" s="2" customFormat="1" x14ac:dyDescent="0.2"/>
    <row r="925" s="2" customFormat="1" x14ac:dyDescent="0.2"/>
    <row r="926" s="2" customFormat="1" x14ac:dyDescent="0.2"/>
    <row r="927" s="2" customFormat="1" x14ac:dyDescent="0.2"/>
    <row r="928" s="2" customFormat="1" x14ac:dyDescent="0.2"/>
    <row r="929" s="2" customFormat="1" x14ac:dyDescent="0.2"/>
    <row r="930" s="2" customFormat="1" x14ac:dyDescent="0.2"/>
    <row r="931" s="2" customFormat="1" x14ac:dyDescent="0.2"/>
    <row r="932" s="2" customFormat="1" x14ac:dyDescent="0.2"/>
    <row r="933" s="2" customFormat="1" x14ac:dyDescent="0.2"/>
    <row r="934" s="2" customFormat="1" x14ac:dyDescent="0.2"/>
    <row r="935" s="2" customFormat="1" x14ac:dyDescent="0.2"/>
    <row r="936" s="2" customFormat="1" x14ac:dyDescent="0.2"/>
    <row r="937" s="2" customFormat="1" x14ac:dyDescent="0.2"/>
    <row r="938" s="2" customFormat="1" x14ac:dyDescent="0.2"/>
    <row r="939" s="2" customFormat="1" x14ac:dyDescent="0.2"/>
    <row r="940" s="2" customFormat="1" x14ac:dyDescent="0.2"/>
    <row r="941" s="2" customFormat="1" x14ac:dyDescent="0.2"/>
    <row r="942" s="2" customFormat="1" x14ac:dyDescent="0.2"/>
    <row r="943" s="2" customFormat="1" x14ac:dyDescent="0.2"/>
    <row r="944" s="2" customFormat="1" x14ac:dyDescent="0.2"/>
    <row r="945" s="2" customFormat="1" x14ac:dyDescent="0.2"/>
    <row r="946" s="2" customFormat="1" x14ac:dyDescent="0.2"/>
    <row r="947" s="2" customFormat="1" x14ac:dyDescent="0.2"/>
    <row r="948" s="2" customFormat="1" x14ac:dyDescent="0.2"/>
    <row r="949" s="2" customFormat="1" x14ac:dyDescent="0.2"/>
    <row r="950" s="2" customFormat="1" x14ac:dyDescent="0.2"/>
    <row r="951" s="2" customFormat="1" x14ac:dyDescent="0.2"/>
    <row r="952" s="2" customFormat="1" x14ac:dyDescent="0.2"/>
    <row r="953" s="2" customFormat="1" x14ac:dyDescent="0.2"/>
    <row r="954" s="2" customFormat="1" x14ac:dyDescent="0.2"/>
    <row r="955" s="2" customFormat="1" x14ac:dyDescent="0.2"/>
    <row r="956" s="2" customFormat="1" x14ac:dyDescent="0.2"/>
    <row r="957" s="2" customFormat="1" x14ac:dyDescent="0.2"/>
    <row r="958" s="2" customFormat="1" x14ac:dyDescent="0.2"/>
    <row r="959" s="2" customFormat="1" x14ac:dyDescent="0.2"/>
    <row r="960" s="2" customFormat="1" x14ac:dyDescent="0.2"/>
    <row r="961" s="2" customFormat="1" x14ac:dyDescent="0.2"/>
    <row r="962" s="2" customFormat="1" x14ac:dyDescent="0.2"/>
    <row r="963" s="2" customFormat="1" x14ac:dyDescent="0.2"/>
    <row r="964" s="2" customFormat="1" x14ac:dyDescent="0.2"/>
    <row r="965" s="2" customFormat="1" x14ac:dyDescent="0.2"/>
    <row r="966" s="2" customFormat="1" x14ac:dyDescent="0.2"/>
    <row r="967" s="2" customFormat="1" x14ac:dyDescent="0.2"/>
    <row r="968" s="2" customFormat="1" x14ac:dyDescent="0.2"/>
    <row r="969" s="2" customFormat="1" x14ac:dyDescent="0.2"/>
    <row r="970" s="2" customFormat="1" x14ac:dyDescent="0.2"/>
    <row r="971" s="2" customFormat="1" x14ac:dyDescent="0.2"/>
    <row r="972" s="2" customFormat="1" x14ac:dyDescent="0.2"/>
    <row r="973" s="2" customFormat="1" x14ac:dyDescent="0.2"/>
    <row r="974" s="2" customFormat="1" x14ac:dyDescent="0.2"/>
    <row r="975" s="2" customFormat="1" x14ac:dyDescent="0.2"/>
    <row r="976" s="2" customFormat="1" x14ac:dyDescent="0.2"/>
    <row r="977" s="2" customFormat="1" x14ac:dyDescent="0.2"/>
    <row r="978" s="2" customFormat="1" x14ac:dyDescent="0.2"/>
    <row r="979" s="2" customFormat="1" x14ac:dyDescent="0.2"/>
    <row r="980" s="2" customFormat="1" x14ac:dyDescent="0.2"/>
    <row r="981" s="2" customFormat="1" x14ac:dyDescent="0.2"/>
    <row r="982" s="2" customFormat="1" x14ac:dyDescent="0.2"/>
    <row r="983" s="2" customFormat="1" x14ac:dyDescent="0.2"/>
    <row r="984" s="2" customFormat="1" x14ac:dyDescent="0.2"/>
    <row r="985" s="2" customFormat="1" x14ac:dyDescent="0.2"/>
    <row r="986" s="2" customFormat="1" x14ac:dyDescent="0.2"/>
    <row r="987" s="2" customFormat="1" x14ac:dyDescent="0.2"/>
    <row r="988" s="2" customFormat="1" x14ac:dyDescent="0.2"/>
    <row r="989" s="2" customFormat="1" x14ac:dyDescent="0.2"/>
    <row r="990" s="2" customFormat="1" x14ac:dyDescent="0.2"/>
    <row r="991" s="2" customFormat="1" x14ac:dyDescent="0.2"/>
    <row r="992" s="2" customFormat="1" x14ac:dyDescent="0.2"/>
    <row r="993" s="2" customFormat="1" x14ac:dyDescent="0.2"/>
    <row r="994" s="2" customFormat="1" x14ac:dyDescent="0.2"/>
    <row r="995" s="2" customFormat="1" x14ac:dyDescent="0.2"/>
    <row r="996" s="2" customFormat="1" x14ac:dyDescent="0.2"/>
    <row r="997" s="2" customFormat="1" x14ac:dyDescent="0.2"/>
    <row r="998" s="2" customFormat="1" x14ac:dyDescent="0.2"/>
    <row r="999" s="2" customFormat="1" x14ac:dyDescent="0.2"/>
    <row r="1000" s="2" customFormat="1" x14ac:dyDescent="0.2"/>
    <row r="1001" s="2" customFormat="1" x14ac:dyDescent="0.2"/>
    <row r="1002" s="2" customFormat="1" x14ac:dyDescent="0.2"/>
    <row r="1003" s="2" customFormat="1" x14ac:dyDescent="0.2"/>
    <row r="1004" s="2" customFormat="1" x14ac:dyDescent="0.2"/>
    <row r="1005" s="2" customFormat="1" x14ac:dyDescent="0.2"/>
    <row r="1006" s="2" customFormat="1" x14ac:dyDescent="0.2"/>
    <row r="1007" s="2" customFormat="1" x14ac:dyDescent="0.2"/>
    <row r="1008" s="2" customFormat="1" x14ac:dyDescent="0.2"/>
    <row r="1009" s="2" customFormat="1" x14ac:dyDescent="0.2"/>
    <row r="1010" s="2" customFormat="1" x14ac:dyDescent="0.2"/>
    <row r="1011" s="2" customFormat="1" x14ac:dyDescent="0.2"/>
    <row r="1012" s="2" customFormat="1" x14ac:dyDescent="0.2"/>
    <row r="1013" s="2" customFormat="1" x14ac:dyDescent="0.2"/>
    <row r="1014" s="2" customFormat="1" x14ac:dyDescent="0.2"/>
    <row r="1015" s="2" customFormat="1" x14ac:dyDescent="0.2"/>
    <row r="1016" s="2" customFormat="1" x14ac:dyDescent="0.2"/>
    <row r="1017" s="2" customFormat="1" x14ac:dyDescent="0.2"/>
    <row r="1018" s="2" customFormat="1" x14ac:dyDescent="0.2"/>
    <row r="1019" s="2" customFormat="1" x14ac:dyDescent="0.2"/>
    <row r="1020" s="2" customFormat="1" x14ac:dyDescent="0.2"/>
    <row r="1021" s="2" customFormat="1" x14ac:dyDescent="0.2"/>
    <row r="1022" s="2" customFormat="1" x14ac:dyDescent="0.2"/>
    <row r="1023" s="2" customFormat="1" x14ac:dyDescent="0.2"/>
    <row r="1024" s="2" customFormat="1" x14ac:dyDescent="0.2"/>
    <row r="1025" s="2" customFormat="1" x14ac:dyDescent="0.2"/>
    <row r="1026" s="2" customFormat="1" x14ac:dyDescent="0.2"/>
    <row r="1027" s="2" customFormat="1" x14ac:dyDescent="0.2"/>
    <row r="1028" s="2" customFormat="1" x14ac:dyDescent="0.2"/>
    <row r="1029" s="2" customFormat="1" x14ac:dyDescent="0.2"/>
    <row r="1030" s="2" customFormat="1" x14ac:dyDescent="0.2"/>
    <row r="1031" s="2" customFormat="1" x14ac:dyDescent="0.2"/>
    <row r="1032" s="2" customFormat="1" x14ac:dyDescent="0.2"/>
    <row r="1033" s="2" customFormat="1" x14ac:dyDescent="0.2"/>
    <row r="1034" s="2" customFormat="1" x14ac:dyDescent="0.2"/>
    <row r="1035" s="2" customFormat="1" x14ac:dyDescent="0.2"/>
    <row r="1036" s="2" customFormat="1" x14ac:dyDescent="0.2"/>
    <row r="1037" s="2" customFormat="1" x14ac:dyDescent="0.2"/>
    <row r="1038" s="2" customFormat="1" x14ac:dyDescent="0.2"/>
    <row r="1039" s="2" customFormat="1" x14ac:dyDescent="0.2"/>
    <row r="1040" s="2" customFormat="1" x14ac:dyDescent="0.2"/>
    <row r="1041" s="2" customFormat="1" x14ac:dyDescent="0.2"/>
    <row r="1042" s="2" customFormat="1" x14ac:dyDescent="0.2"/>
    <row r="1043" s="2" customFormat="1" x14ac:dyDescent="0.2"/>
    <row r="1044" s="2" customFormat="1" x14ac:dyDescent="0.2"/>
    <row r="1045" s="2" customFormat="1" x14ac:dyDescent="0.2"/>
    <row r="1046" s="2" customFormat="1" x14ac:dyDescent="0.2"/>
    <row r="1047" s="2" customFormat="1" x14ac:dyDescent="0.2"/>
    <row r="1048" s="2" customFormat="1" x14ac:dyDescent="0.2"/>
    <row r="1049" s="2" customFormat="1" x14ac:dyDescent="0.2"/>
    <row r="1050" s="2" customFormat="1" x14ac:dyDescent="0.2"/>
    <row r="1051" s="2" customFormat="1" x14ac:dyDescent="0.2"/>
    <row r="1052" s="2" customFormat="1" x14ac:dyDescent="0.2"/>
    <row r="1053" s="2" customFormat="1" x14ac:dyDescent="0.2"/>
    <row r="1054" s="2" customFormat="1" x14ac:dyDescent="0.2"/>
    <row r="1055" s="2" customFormat="1" x14ac:dyDescent="0.2"/>
    <row r="1056" s="2" customFormat="1" x14ac:dyDescent="0.2"/>
    <row r="1057" s="2" customFormat="1" x14ac:dyDescent="0.2"/>
    <row r="1058" s="2" customFormat="1" x14ac:dyDescent="0.2"/>
    <row r="1059" s="2" customFormat="1" x14ac:dyDescent="0.2"/>
    <row r="1060" s="2" customFormat="1" x14ac:dyDescent="0.2"/>
    <row r="1061" s="2" customFormat="1" x14ac:dyDescent="0.2"/>
    <row r="1062" s="2" customFormat="1" x14ac:dyDescent="0.2"/>
    <row r="1063" s="2" customFormat="1" x14ac:dyDescent="0.2"/>
    <row r="1064" s="2" customFormat="1" x14ac:dyDescent="0.2"/>
    <row r="1065" s="2" customFormat="1" x14ac:dyDescent="0.2"/>
    <row r="1066" s="2" customFormat="1" x14ac:dyDescent="0.2"/>
    <row r="1067" s="2" customFormat="1" x14ac:dyDescent="0.2"/>
    <row r="1068" s="2" customFormat="1" x14ac:dyDescent="0.2"/>
    <row r="1069" s="2" customFormat="1" x14ac:dyDescent="0.2"/>
    <row r="1070" s="2" customFormat="1" x14ac:dyDescent="0.2"/>
    <row r="1071" s="2" customFormat="1" x14ac:dyDescent="0.2"/>
    <row r="1072" s="2" customFormat="1" x14ac:dyDescent="0.2"/>
    <row r="1073" s="2" customFormat="1" x14ac:dyDescent="0.2"/>
    <row r="1074" s="2" customFormat="1" x14ac:dyDescent="0.2"/>
    <row r="1075" s="2" customFormat="1" x14ac:dyDescent="0.2"/>
    <row r="1076" s="2" customFormat="1" x14ac:dyDescent="0.2"/>
    <row r="1077" s="2" customFormat="1" x14ac:dyDescent="0.2"/>
    <row r="1078" s="2" customFormat="1" x14ac:dyDescent="0.2"/>
    <row r="1079" s="2" customFormat="1" x14ac:dyDescent="0.2"/>
    <row r="1080" s="2" customFormat="1" x14ac:dyDescent="0.2"/>
    <row r="1081" s="2" customFormat="1" x14ac:dyDescent="0.2"/>
    <row r="1082" s="2" customFormat="1" x14ac:dyDescent="0.2"/>
    <row r="1083" s="2" customFormat="1" x14ac:dyDescent="0.2"/>
    <row r="1084" s="2" customFormat="1" x14ac:dyDescent="0.2"/>
    <row r="1085" s="2" customFormat="1" x14ac:dyDescent="0.2"/>
    <row r="1086" s="2" customFormat="1" x14ac:dyDescent="0.2"/>
    <row r="1087" s="2" customFormat="1" x14ac:dyDescent="0.2"/>
    <row r="1088" s="2" customFormat="1" x14ac:dyDescent="0.2"/>
    <row r="1089" s="2" customFormat="1" x14ac:dyDescent="0.2"/>
    <row r="1090" s="2" customFormat="1" x14ac:dyDescent="0.2"/>
    <row r="1091" s="2" customFormat="1" x14ac:dyDescent="0.2"/>
    <row r="1092" s="2" customFormat="1" x14ac:dyDescent="0.2"/>
    <row r="1093" s="2" customFormat="1" x14ac:dyDescent="0.2"/>
    <row r="1094" s="2" customFormat="1" x14ac:dyDescent="0.2"/>
    <row r="1095" s="2" customFormat="1" x14ac:dyDescent="0.2"/>
    <row r="1096" s="2" customFormat="1" x14ac:dyDescent="0.2"/>
    <row r="1097" s="2" customFormat="1" x14ac:dyDescent="0.2"/>
    <row r="1098" s="2" customFormat="1" x14ac:dyDescent="0.2"/>
    <row r="1099" s="2" customFormat="1" x14ac:dyDescent="0.2"/>
    <row r="1100" s="2" customFormat="1" x14ac:dyDescent="0.2"/>
    <row r="1101" s="2" customFormat="1" x14ac:dyDescent="0.2"/>
    <row r="1102" s="2" customFormat="1" x14ac:dyDescent="0.2"/>
    <row r="1103" s="2" customFormat="1" x14ac:dyDescent="0.2"/>
    <row r="1104" s="2" customFormat="1" x14ac:dyDescent="0.2"/>
    <row r="1105" s="2" customFormat="1" x14ac:dyDescent="0.2"/>
    <row r="1106" s="2" customFormat="1" x14ac:dyDescent="0.2"/>
    <row r="1107" s="2" customFormat="1" x14ac:dyDescent="0.2"/>
    <row r="1108" s="2" customFormat="1" x14ac:dyDescent="0.2"/>
    <row r="1109" s="2" customFormat="1" x14ac:dyDescent="0.2"/>
    <row r="1110" s="2" customFormat="1" x14ac:dyDescent="0.2"/>
    <row r="1111" s="2" customFormat="1" x14ac:dyDescent="0.2"/>
    <row r="1112" s="2" customFormat="1" x14ac:dyDescent="0.2"/>
    <row r="1113" s="2" customFormat="1" x14ac:dyDescent="0.2"/>
    <row r="1114" s="2" customFormat="1" x14ac:dyDescent="0.2"/>
    <row r="1115" s="2" customFormat="1" x14ac:dyDescent="0.2"/>
    <row r="1116" s="2" customFormat="1" x14ac:dyDescent="0.2"/>
    <row r="1117" s="2" customFormat="1" x14ac:dyDescent="0.2"/>
    <row r="1118" s="2" customFormat="1" x14ac:dyDescent="0.2"/>
    <row r="1119" s="2" customFormat="1" x14ac:dyDescent="0.2"/>
    <row r="1120" s="2" customFormat="1" x14ac:dyDescent="0.2"/>
    <row r="1121" s="2" customFormat="1" x14ac:dyDescent="0.2"/>
    <row r="1122" s="2" customFormat="1" x14ac:dyDescent="0.2"/>
    <row r="1123" s="2" customFormat="1" x14ac:dyDescent="0.2"/>
    <row r="1124" s="2" customFormat="1" x14ac:dyDescent="0.2"/>
    <row r="1125" s="2" customFormat="1" x14ac:dyDescent="0.2"/>
    <row r="1126" s="2" customFormat="1" x14ac:dyDescent="0.2"/>
    <row r="1127" s="2" customFormat="1" x14ac:dyDescent="0.2"/>
    <row r="1128" s="2" customFormat="1" x14ac:dyDescent="0.2"/>
    <row r="1129" s="2" customFormat="1" x14ac:dyDescent="0.2"/>
    <row r="1130" s="2" customFormat="1" x14ac:dyDescent="0.2"/>
    <row r="1131" s="2" customFormat="1" x14ac:dyDescent="0.2"/>
    <row r="1132" s="2" customFormat="1" x14ac:dyDescent="0.2"/>
    <row r="1133" s="2" customFormat="1" x14ac:dyDescent="0.2"/>
    <row r="1134" s="2" customFormat="1" x14ac:dyDescent="0.2"/>
    <row r="1135" s="2" customFormat="1" x14ac:dyDescent="0.2"/>
    <row r="1136" s="2" customFormat="1" x14ac:dyDescent="0.2"/>
    <row r="1137" s="2" customFormat="1" x14ac:dyDescent="0.2"/>
    <row r="1138" s="2" customFormat="1" x14ac:dyDescent="0.2"/>
    <row r="1139" s="2" customFormat="1" x14ac:dyDescent="0.2"/>
    <row r="1140" s="2" customFormat="1" x14ac:dyDescent="0.2"/>
    <row r="1141" s="2" customFormat="1" x14ac:dyDescent="0.2"/>
    <row r="1142" s="2" customFormat="1" x14ac:dyDescent="0.2"/>
    <row r="1143" s="2" customFormat="1" x14ac:dyDescent="0.2"/>
    <row r="1144" s="2" customFormat="1" x14ac:dyDescent="0.2"/>
    <row r="1145" s="2" customFormat="1" x14ac:dyDescent="0.2"/>
    <row r="1146" s="2" customFormat="1" x14ac:dyDescent="0.2"/>
    <row r="1147" s="2" customFormat="1" x14ac:dyDescent="0.2"/>
    <row r="1148" s="2" customFormat="1" x14ac:dyDescent="0.2"/>
    <row r="1149" s="2" customFormat="1" x14ac:dyDescent="0.2"/>
    <row r="1150" s="2" customFormat="1" x14ac:dyDescent="0.2"/>
    <row r="1151" s="2" customFormat="1" x14ac:dyDescent="0.2"/>
    <row r="1152" s="2" customFormat="1" x14ac:dyDescent="0.2"/>
    <row r="1153" s="2" customFormat="1" x14ac:dyDescent="0.2"/>
    <row r="1154" s="2" customFormat="1" x14ac:dyDescent="0.2"/>
    <row r="1155" s="2" customFormat="1" x14ac:dyDescent="0.2"/>
    <row r="1156" s="2" customFormat="1" x14ac:dyDescent="0.2"/>
    <row r="1157" s="2" customFormat="1" x14ac:dyDescent="0.2"/>
    <row r="1158" s="2" customFormat="1" x14ac:dyDescent="0.2"/>
    <row r="1159" s="2" customFormat="1" x14ac:dyDescent="0.2"/>
    <row r="1160" s="2" customFormat="1" x14ac:dyDescent="0.2"/>
    <row r="1161" s="2" customFormat="1" x14ac:dyDescent="0.2"/>
    <row r="1162" s="2" customFormat="1" x14ac:dyDescent="0.2"/>
    <row r="1163" s="2" customFormat="1" x14ac:dyDescent="0.2"/>
    <row r="1164" s="2" customFormat="1" x14ac:dyDescent="0.2"/>
    <row r="1165" s="2" customFormat="1" x14ac:dyDescent="0.2"/>
    <row r="1166" s="2" customFormat="1" x14ac:dyDescent="0.2"/>
    <row r="1167" s="2" customFormat="1" x14ac:dyDescent="0.2"/>
    <row r="1168" s="2" customFormat="1" x14ac:dyDescent="0.2"/>
    <row r="1169" s="2" customFormat="1" x14ac:dyDescent="0.2"/>
    <row r="1170" s="2" customFormat="1" x14ac:dyDescent="0.2"/>
    <row r="1171" s="2" customFormat="1" x14ac:dyDescent="0.2"/>
    <row r="1172" s="2" customFormat="1" x14ac:dyDescent="0.2"/>
    <row r="1173" s="2" customFormat="1" x14ac:dyDescent="0.2"/>
    <row r="1174" s="2" customFormat="1" x14ac:dyDescent="0.2"/>
    <row r="1175" s="2" customFormat="1" x14ac:dyDescent="0.2"/>
    <row r="1176" s="2" customFormat="1" x14ac:dyDescent="0.2"/>
    <row r="1177" s="2" customFormat="1" x14ac:dyDescent="0.2"/>
    <row r="1178" s="2" customFormat="1" x14ac:dyDescent="0.2"/>
    <row r="1179" s="2" customFormat="1" x14ac:dyDescent="0.2"/>
    <row r="1180" s="2" customFormat="1" x14ac:dyDescent="0.2"/>
    <row r="1181" s="2" customFormat="1" x14ac:dyDescent="0.2"/>
    <row r="1182" s="2" customFormat="1" x14ac:dyDescent="0.2"/>
    <row r="1183" s="2" customFormat="1" x14ac:dyDescent="0.2"/>
    <row r="1184" s="2" customFormat="1" x14ac:dyDescent="0.2"/>
    <row r="1185" s="2" customFormat="1" x14ac:dyDescent="0.2"/>
    <row r="1186" s="2" customFormat="1" x14ac:dyDescent="0.2"/>
    <row r="1187" s="2" customFormat="1" x14ac:dyDescent="0.2"/>
    <row r="1188" s="2" customFormat="1" x14ac:dyDescent="0.2"/>
    <row r="1189" s="2" customFormat="1" x14ac:dyDescent="0.2"/>
    <row r="1190" s="2" customFormat="1" x14ac:dyDescent="0.2"/>
    <row r="1191" s="2" customFormat="1" x14ac:dyDescent="0.2"/>
    <row r="1192" s="2" customFormat="1" x14ac:dyDescent="0.2"/>
    <row r="1193" s="2" customFormat="1" x14ac:dyDescent="0.2"/>
    <row r="1194" s="2" customFormat="1" x14ac:dyDescent="0.2"/>
    <row r="1195" s="2" customFormat="1" x14ac:dyDescent="0.2"/>
    <row r="1196" s="2" customFormat="1" x14ac:dyDescent="0.2"/>
    <row r="1197" s="2" customFormat="1" x14ac:dyDescent="0.2"/>
    <row r="1198" s="2" customFormat="1" x14ac:dyDescent="0.2"/>
    <row r="1199" s="2" customFormat="1" x14ac:dyDescent="0.2"/>
    <row r="1200" s="2" customFormat="1" x14ac:dyDescent="0.2"/>
    <row r="1201" s="2" customFormat="1" x14ac:dyDescent="0.2"/>
    <row r="1202" s="2" customFormat="1" x14ac:dyDescent="0.2"/>
    <row r="1203" s="2" customFormat="1" x14ac:dyDescent="0.2"/>
    <row r="1204" s="2" customFormat="1" x14ac:dyDescent="0.2"/>
    <row r="1205" s="2" customFormat="1" x14ac:dyDescent="0.2"/>
    <row r="1206" s="2" customFormat="1" x14ac:dyDescent="0.2"/>
    <row r="1207" s="2" customFormat="1" x14ac:dyDescent="0.2"/>
    <row r="1208" s="2" customFormat="1" x14ac:dyDescent="0.2"/>
    <row r="1209" s="2" customFormat="1" x14ac:dyDescent="0.2"/>
    <row r="1210" s="2" customFormat="1" x14ac:dyDescent="0.2"/>
    <row r="1211" s="2" customFormat="1" x14ac:dyDescent="0.2"/>
    <row r="1212" s="2" customFormat="1" x14ac:dyDescent="0.2"/>
    <row r="1213" s="2" customFormat="1" x14ac:dyDescent="0.2"/>
    <row r="1214" s="2" customFormat="1" x14ac:dyDescent="0.2"/>
    <row r="1215" s="2" customFormat="1" x14ac:dyDescent="0.2"/>
    <row r="1216" s="2" customFormat="1" x14ac:dyDescent="0.2"/>
    <row r="1217" s="2" customFormat="1" x14ac:dyDescent="0.2"/>
    <row r="1218" s="2" customFormat="1" x14ac:dyDescent="0.2"/>
    <row r="1219" s="2" customFormat="1" x14ac:dyDescent="0.2"/>
    <row r="1220" s="2" customFormat="1" x14ac:dyDescent="0.2"/>
    <row r="1221" s="2" customFormat="1" x14ac:dyDescent="0.2"/>
    <row r="1222" s="2" customFormat="1" x14ac:dyDescent="0.2"/>
    <row r="1223" s="2" customFormat="1" x14ac:dyDescent="0.2"/>
    <row r="1224" s="2" customFormat="1" x14ac:dyDescent="0.2"/>
    <row r="1225" s="2" customFormat="1" x14ac:dyDescent="0.2"/>
    <row r="1226" s="2" customFormat="1" x14ac:dyDescent="0.2"/>
    <row r="1227" s="2" customFormat="1" x14ac:dyDescent="0.2"/>
    <row r="1228" s="2" customFormat="1" x14ac:dyDescent="0.2"/>
    <row r="1229" s="2" customFormat="1" x14ac:dyDescent="0.2"/>
    <row r="1230" s="2" customFormat="1" x14ac:dyDescent="0.2"/>
    <row r="1231" s="2" customFormat="1" x14ac:dyDescent="0.2"/>
    <row r="1232" s="2" customFormat="1" x14ac:dyDescent="0.2"/>
    <row r="1233" s="2" customFormat="1" x14ac:dyDescent="0.2"/>
    <row r="1234" s="2" customFormat="1" x14ac:dyDescent="0.2"/>
    <row r="1235" s="2" customFormat="1" x14ac:dyDescent="0.2"/>
    <row r="1236" s="2" customFormat="1" x14ac:dyDescent="0.2"/>
    <row r="1237" s="2" customFormat="1" x14ac:dyDescent="0.2"/>
    <row r="1238" s="2" customFormat="1" x14ac:dyDescent="0.2"/>
    <row r="1239" s="2" customFormat="1" x14ac:dyDescent="0.2"/>
    <row r="1240" s="2" customFormat="1" x14ac:dyDescent="0.2"/>
    <row r="1241" s="2" customFormat="1" x14ac:dyDescent="0.2"/>
    <row r="1242" s="2" customFormat="1" x14ac:dyDescent="0.2"/>
    <row r="1243" s="2" customFormat="1" x14ac:dyDescent="0.2"/>
    <row r="1244" s="2" customFormat="1" x14ac:dyDescent="0.2"/>
    <row r="1245" s="2" customFormat="1" x14ac:dyDescent="0.2"/>
    <row r="1246" s="2" customFormat="1" x14ac:dyDescent="0.2"/>
    <row r="1247" s="2" customFormat="1" x14ac:dyDescent="0.2"/>
    <row r="1248" s="2" customFormat="1" x14ac:dyDescent="0.2"/>
    <row r="1249" s="2" customFormat="1" x14ac:dyDescent="0.2"/>
    <row r="1250" s="2" customFormat="1" x14ac:dyDescent="0.2"/>
    <row r="1251" s="2" customFormat="1" x14ac:dyDescent="0.2"/>
    <row r="1252" s="2" customFormat="1" x14ac:dyDescent="0.2"/>
    <row r="1253" s="2" customFormat="1" x14ac:dyDescent="0.2"/>
    <row r="1254" s="2" customFormat="1" x14ac:dyDescent="0.2"/>
    <row r="1255" s="2" customFormat="1" x14ac:dyDescent="0.2"/>
    <row r="1256" s="2" customFormat="1" x14ac:dyDescent="0.2"/>
    <row r="1257" s="2" customFormat="1" x14ac:dyDescent="0.2"/>
    <row r="1258" s="2" customFormat="1" x14ac:dyDescent="0.2"/>
    <row r="1259" s="2" customFormat="1" x14ac:dyDescent="0.2"/>
    <row r="1260" s="2" customFormat="1" x14ac:dyDescent="0.2"/>
    <row r="1261" s="2" customFormat="1" x14ac:dyDescent="0.2"/>
    <row r="1262" s="2" customFormat="1" x14ac:dyDescent="0.2"/>
    <row r="1263" s="2" customFormat="1" x14ac:dyDescent="0.2"/>
    <row r="1264" s="2" customFormat="1" x14ac:dyDescent="0.2"/>
    <row r="1265" spans="1:4" x14ac:dyDescent="0.2">
      <c r="A1265" s="2"/>
      <c r="B1265" s="2"/>
      <c r="C1265" s="2"/>
      <c r="D1265" s="2"/>
    </row>
    <row r="1266" spans="1:4" x14ac:dyDescent="0.2">
      <c r="A1266" s="2"/>
      <c r="B1266" s="2"/>
      <c r="C1266" s="2"/>
      <c r="D1266" s="2"/>
    </row>
    <row r="1267" spans="1:4" x14ac:dyDescent="0.2">
      <c r="A1267" s="2"/>
      <c r="B1267" s="2"/>
      <c r="C1267" s="2"/>
      <c r="D1267" s="2"/>
    </row>
    <row r="1268" spans="1:4" x14ac:dyDescent="0.2">
      <c r="A1268" s="2"/>
      <c r="B1268" s="2"/>
      <c r="C1268" s="2"/>
      <c r="D1268" s="2"/>
    </row>
    <row r="1269" spans="1:4" x14ac:dyDescent="0.2">
      <c r="A1269" s="2"/>
      <c r="B1269" s="2"/>
      <c r="C1269" s="2"/>
      <c r="D1269" s="2"/>
    </row>
    <row r="1270" spans="1:4" x14ac:dyDescent="0.2">
      <c r="A1270" s="2"/>
      <c r="B1270" s="2"/>
      <c r="C1270" s="2"/>
      <c r="D1270" s="2"/>
    </row>
    <row r="1271" spans="1:4" x14ac:dyDescent="0.2">
      <c r="A1271" s="2"/>
      <c r="B1271" s="2"/>
      <c r="C1271" s="2"/>
      <c r="D1271" s="2"/>
    </row>
    <row r="1272" spans="1:4" x14ac:dyDescent="0.2">
      <c r="A1272" s="2"/>
      <c r="B1272" s="2"/>
      <c r="C1272" s="2"/>
      <c r="D1272" s="2"/>
    </row>
    <row r="1273" spans="1:4" x14ac:dyDescent="0.2"/>
    <row r="1274" spans="1:4" x14ac:dyDescent="0.2"/>
    <row r="1275" spans="1:4" x14ac:dyDescent="0.2"/>
    <row r="1276" spans="1:4" x14ac:dyDescent="0.2"/>
    <row r="1277" spans="1:4" x14ac:dyDescent="0.2"/>
    <row r="1278" spans="1:4" x14ac:dyDescent="0.2"/>
    <row r="1279" spans="1:4" x14ac:dyDescent="0.2"/>
    <row r="1280" spans="1:4"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row r="1384" x14ac:dyDescent="0.2"/>
    <row r="1385" x14ac:dyDescent="0.2"/>
    <row r="1386" x14ac:dyDescent="0.2"/>
    <row r="1387" x14ac:dyDescent="0.2"/>
    <row r="1388" x14ac:dyDescent="0.2"/>
    <row r="1389" x14ac:dyDescent="0.2"/>
    <row r="1390" x14ac:dyDescent="0.2"/>
    <row r="1391" x14ac:dyDescent="0.2"/>
    <row r="1392" x14ac:dyDescent="0.2"/>
    <row r="1393" x14ac:dyDescent="0.2"/>
    <row r="1394" x14ac:dyDescent="0.2"/>
    <row r="1395" x14ac:dyDescent="0.2"/>
    <row r="1396" x14ac:dyDescent="0.2"/>
    <row r="1397" x14ac:dyDescent="0.2"/>
    <row r="1398" x14ac:dyDescent="0.2"/>
    <row r="1399" x14ac:dyDescent="0.2"/>
    <row r="1400" x14ac:dyDescent="0.2"/>
    <row r="1401" x14ac:dyDescent="0.2"/>
    <row r="1402" x14ac:dyDescent="0.2"/>
    <row r="1403" x14ac:dyDescent="0.2"/>
    <row r="1404" x14ac:dyDescent="0.2"/>
    <row r="1405" x14ac:dyDescent="0.2"/>
    <row r="1406" x14ac:dyDescent="0.2"/>
    <row r="1407" x14ac:dyDescent="0.2"/>
    <row r="1408" x14ac:dyDescent="0.2"/>
    <row r="1409" x14ac:dyDescent="0.2"/>
    <row r="1410" x14ac:dyDescent="0.2"/>
    <row r="1411" x14ac:dyDescent="0.2"/>
    <row r="1412" x14ac:dyDescent="0.2"/>
    <row r="1413" x14ac:dyDescent="0.2"/>
    <row r="1414" x14ac:dyDescent="0.2"/>
    <row r="1415" x14ac:dyDescent="0.2"/>
    <row r="1416" x14ac:dyDescent="0.2"/>
    <row r="1417" x14ac:dyDescent="0.2"/>
    <row r="1418" x14ac:dyDescent="0.2"/>
    <row r="1419" x14ac:dyDescent="0.2"/>
    <row r="1420" x14ac:dyDescent="0.2"/>
    <row r="1421" x14ac:dyDescent="0.2"/>
    <row r="1422" x14ac:dyDescent="0.2"/>
    <row r="1423" x14ac:dyDescent="0.2"/>
    <row r="1424" x14ac:dyDescent="0.2"/>
    <row r="1425" x14ac:dyDescent="0.2"/>
    <row r="1426" x14ac:dyDescent="0.2"/>
    <row r="1427" x14ac:dyDescent="0.2"/>
    <row r="1428" x14ac:dyDescent="0.2"/>
    <row r="1429" x14ac:dyDescent="0.2"/>
    <row r="1430" x14ac:dyDescent="0.2"/>
    <row r="1431" x14ac:dyDescent="0.2"/>
    <row r="1432" x14ac:dyDescent="0.2"/>
    <row r="1433" x14ac:dyDescent="0.2"/>
    <row r="1434" x14ac:dyDescent="0.2"/>
    <row r="1435" x14ac:dyDescent="0.2"/>
    <row r="1436" x14ac:dyDescent="0.2"/>
    <row r="1437" x14ac:dyDescent="0.2"/>
    <row r="1438" x14ac:dyDescent="0.2"/>
    <row r="1439" x14ac:dyDescent="0.2"/>
    <row r="1440" x14ac:dyDescent="0.2"/>
    <row r="1441" x14ac:dyDescent="0.2"/>
    <row r="1442" x14ac:dyDescent="0.2"/>
    <row r="1443" x14ac:dyDescent="0.2"/>
    <row r="1444" x14ac:dyDescent="0.2"/>
    <row r="1445" x14ac:dyDescent="0.2"/>
    <row r="1446" x14ac:dyDescent="0.2"/>
  </sheetData>
  <mergeCells count="13">
    <mergeCell ref="A1:A7"/>
    <mergeCell ref="E1:J1"/>
    <mergeCell ref="Q1:V1"/>
    <mergeCell ref="W1:AB1"/>
    <mergeCell ref="B10:D10"/>
    <mergeCell ref="E4:AL4"/>
    <mergeCell ref="B18:D18"/>
    <mergeCell ref="B12:D12"/>
    <mergeCell ref="B14:D14"/>
    <mergeCell ref="AI1:AL1"/>
    <mergeCell ref="AC1:AH1"/>
    <mergeCell ref="K1:P1"/>
    <mergeCell ref="B16:D16"/>
  </mergeCells>
  <phoneticPr fontId="5" type="noConversion"/>
  <conditionalFormatting sqref="AI3 AI5:AJ7">
    <cfRule type="expression" dxfId="390" priority="786">
      <formula>AI3="medio alto"</formula>
    </cfRule>
    <cfRule type="expression" dxfId="389" priority="787">
      <formula>AI3="bajo"</formula>
    </cfRule>
    <cfRule type="expression" dxfId="388" priority="788">
      <formula>AI3="medio bajo"</formula>
    </cfRule>
    <cfRule type="expression" dxfId="387" priority="789">
      <formula>AI3="medio"</formula>
    </cfRule>
    <cfRule type="expression" dxfId="386" priority="790">
      <formula>AI3="alto"</formula>
    </cfRule>
  </conditionalFormatting>
  <conditionalFormatting sqref="J5:J7">
    <cfRule type="expression" dxfId="385" priority="811">
      <formula>J5="medio alto"</formula>
    </cfRule>
    <cfRule type="expression" dxfId="384" priority="812">
      <formula>J5="bajo"</formula>
    </cfRule>
    <cfRule type="expression" dxfId="383" priority="813">
      <formula>J5="medio bajo"</formula>
    </cfRule>
    <cfRule type="expression" dxfId="382" priority="814">
      <formula>J5="medio"</formula>
    </cfRule>
    <cfRule type="expression" dxfId="381" priority="815">
      <formula>J5="alto"</formula>
    </cfRule>
  </conditionalFormatting>
  <conditionalFormatting sqref="V5:V6">
    <cfRule type="expression" dxfId="380" priority="676">
      <formula>V5="medio alto"</formula>
    </cfRule>
    <cfRule type="expression" dxfId="379" priority="677">
      <formula>V5="bajo"</formula>
    </cfRule>
    <cfRule type="expression" dxfId="378" priority="678">
      <formula>V5="medio bajo"</formula>
    </cfRule>
    <cfRule type="expression" dxfId="377" priority="679">
      <formula>V5="medio"</formula>
    </cfRule>
    <cfRule type="expression" dxfId="376" priority="680">
      <formula>V5="alto"</formula>
    </cfRule>
  </conditionalFormatting>
  <conditionalFormatting sqref="K5:K7">
    <cfRule type="expression" dxfId="375" priority="671">
      <formula>K5="medio alto"</formula>
    </cfRule>
    <cfRule type="expression" dxfId="374" priority="672">
      <formula>K5="bajo"</formula>
    </cfRule>
    <cfRule type="expression" dxfId="373" priority="673">
      <formula>K5="medio bajo"</formula>
    </cfRule>
    <cfRule type="expression" dxfId="372" priority="674">
      <formula>K5="medio"</formula>
    </cfRule>
    <cfRule type="expression" dxfId="371" priority="675">
      <formula>K5="alto"</formula>
    </cfRule>
  </conditionalFormatting>
  <conditionalFormatting sqref="AJ8">
    <cfRule type="expression" dxfId="370" priority="581">
      <formula>AJ8="medio alto"</formula>
    </cfRule>
    <cfRule type="expression" dxfId="369" priority="582">
      <formula>AJ8="bajo"</formula>
    </cfRule>
    <cfRule type="expression" dxfId="368" priority="583">
      <formula>AJ8="medio bajo"</formula>
    </cfRule>
    <cfRule type="expression" dxfId="367" priority="584">
      <formula>AJ8="medio"</formula>
    </cfRule>
    <cfRule type="expression" dxfId="366" priority="585">
      <formula>AJ8="alto"</formula>
    </cfRule>
  </conditionalFormatting>
  <conditionalFormatting sqref="AI8">
    <cfRule type="expression" dxfId="365" priority="536">
      <formula>AI8="medio alto"</formula>
    </cfRule>
    <cfRule type="expression" dxfId="364" priority="537">
      <formula>AI8="bajo"</formula>
    </cfRule>
    <cfRule type="expression" dxfId="363" priority="538">
      <formula>AI8="medio bajo"</formula>
    </cfRule>
    <cfRule type="expression" dxfId="362" priority="539">
      <formula>AI8="medio"</formula>
    </cfRule>
    <cfRule type="expression" dxfId="361" priority="540">
      <formula>AI8="alto"</formula>
    </cfRule>
  </conditionalFormatting>
  <conditionalFormatting sqref="AL10">
    <cfRule type="expression" dxfId="360" priority="421">
      <formula>AL10="medio alto"</formula>
    </cfRule>
    <cfRule type="expression" dxfId="359" priority="422">
      <formula>AL10="bajo"</formula>
    </cfRule>
    <cfRule type="expression" dxfId="358" priority="423">
      <formula>AL10="medio bajo"</formula>
    </cfRule>
    <cfRule type="expression" dxfId="357" priority="424">
      <formula>AL10="medio"</formula>
    </cfRule>
    <cfRule type="expression" dxfId="356" priority="425">
      <formula>AL10="alto"</formula>
    </cfRule>
  </conditionalFormatting>
  <conditionalFormatting sqref="AL12">
    <cfRule type="cellIs" dxfId="355" priority="416" operator="equal">
      <formula>"Alto"</formula>
    </cfRule>
    <cfRule type="cellIs" dxfId="354" priority="417" operator="equal">
      <formula>"Medio Alto"</formula>
    </cfRule>
    <cfRule type="cellIs" dxfId="353" priority="418" operator="equal">
      <formula>"Medio"</formula>
    </cfRule>
    <cfRule type="cellIs" dxfId="352" priority="419" operator="equal">
      <formula>"Medio Bajo"</formula>
    </cfRule>
    <cfRule type="cellIs" dxfId="351" priority="420" operator="equal">
      <formula>"Bajo"</formula>
    </cfRule>
  </conditionalFormatting>
  <conditionalFormatting sqref="R3:S3 X3 AD3:AE3 F3:J3 L3:M3">
    <cfRule type="expression" dxfId="350" priority="396">
      <formula>F3="medio alto"</formula>
    </cfRule>
    <cfRule type="expression" dxfId="349" priority="397">
      <formula>F3="bajo"</formula>
    </cfRule>
    <cfRule type="expression" dxfId="348" priority="398">
      <formula>F3="medio bajo"</formula>
    </cfRule>
    <cfRule type="expression" dxfId="347" priority="399">
      <formula>F3="medio"</formula>
    </cfRule>
    <cfRule type="expression" dxfId="346" priority="400">
      <formula>F3="alto"</formula>
    </cfRule>
  </conditionalFormatting>
  <conditionalFormatting sqref="E8:AH8">
    <cfRule type="expression" dxfId="345" priority="391">
      <formula>E8="medio alto"</formula>
    </cfRule>
    <cfRule type="expression" dxfId="344" priority="392">
      <formula>E8="bajo"</formula>
    </cfRule>
    <cfRule type="expression" dxfId="343" priority="393">
      <formula>E8="medio bajo"</formula>
    </cfRule>
    <cfRule type="expression" dxfId="342" priority="394">
      <formula>E8="medio"</formula>
    </cfRule>
    <cfRule type="expression" dxfId="341" priority="395">
      <formula>E8="alto"</formula>
    </cfRule>
  </conditionalFormatting>
  <conditionalFormatting sqref="V7">
    <cfRule type="expression" dxfId="340" priority="386">
      <formula>V7="medio alto"</formula>
    </cfRule>
    <cfRule type="expression" dxfId="339" priority="387">
      <formula>V7="bajo"</formula>
    </cfRule>
    <cfRule type="expression" dxfId="338" priority="388">
      <formula>V7="medio bajo"</formula>
    </cfRule>
    <cfRule type="expression" dxfId="337" priority="389">
      <formula>V7="medio"</formula>
    </cfRule>
    <cfRule type="expression" dxfId="336" priority="390">
      <formula>V7="alto"</formula>
    </cfRule>
  </conditionalFormatting>
  <conditionalFormatting sqref="N3:P3">
    <cfRule type="expression" dxfId="335" priority="341">
      <formula>N3="medio alto"</formula>
    </cfRule>
    <cfRule type="expression" dxfId="334" priority="342">
      <formula>N3="bajo"</formula>
    </cfRule>
    <cfRule type="expression" dxfId="333" priority="343">
      <formula>N3="medio bajo"</formula>
    </cfRule>
    <cfRule type="expression" dxfId="332" priority="344">
      <formula>N3="medio"</formula>
    </cfRule>
    <cfRule type="expression" dxfId="331" priority="345">
      <formula>N3="alto"</formula>
    </cfRule>
  </conditionalFormatting>
  <conditionalFormatting sqref="T3:V3">
    <cfRule type="expression" dxfId="330" priority="336">
      <formula>T3="medio alto"</formula>
    </cfRule>
    <cfRule type="expression" dxfId="329" priority="337">
      <formula>T3="bajo"</formula>
    </cfRule>
    <cfRule type="expression" dxfId="328" priority="338">
      <formula>T3="medio bajo"</formula>
    </cfRule>
    <cfRule type="expression" dxfId="327" priority="339">
      <formula>T3="medio"</formula>
    </cfRule>
    <cfRule type="expression" dxfId="326" priority="340">
      <formula>T3="alto"</formula>
    </cfRule>
  </conditionalFormatting>
  <conditionalFormatting sqref="Y3:Z3">
    <cfRule type="expression" dxfId="325" priority="331">
      <formula>Y3="medio alto"</formula>
    </cfRule>
    <cfRule type="expression" dxfId="324" priority="332">
      <formula>Y3="bajo"</formula>
    </cfRule>
    <cfRule type="expression" dxfId="323" priority="333">
      <formula>Y3="medio bajo"</formula>
    </cfRule>
    <cfRule type="expression" dxfId="322" priority="334">
      <formula>Y3="medio"</formula>
    </cfRule>
    <cfRule type="expression" dxfId="321" priority="335">
      <formula>Y3="alto"</formula>
    </cfRule>
  </conditionalFormatting>
  <conditionalFormatting sqref="AA3:AB3">
    <cfRule type="expression" dxfId="320" priority="326">
      <formula>AA3="medio alto"</formula>
    </cfRule>
    <cfRule type="expression" dxfId="319" priority="327">
      <formula>AA3="bajo"</formula>
    </cfRule>
    <cfRule type="expression" dxfId="318" priority="328">
      <formula>AA3="medio bajo"</formula>
    </cfRule>
    <cfRule type="expression" dxfId="317" priority="329">
      <formula>AA3="medio"</formula>
    </cfRule>
    <cfRule type="expression" dxfId="316" priority="330">
      <formula>AA3="alto"</formula>
    </cfRule>
  </conditionalFormatting>
  <conditionalFormatting sqref="AF3:AG3">
    <cfRule type="expression" dxfId="315" priority="321">
      <formula>AF3="medio alto"</formula>
    </cfRule>
    <cfRule type="expression" dxfId="314" priority="322">
      <formula>AF3="bajo"</formula>
    </cfRule>
    <cfRule type="expression" dxfId="313" priority="323">
      <formula>AF3="medio bajo"</formula>
    </cfRule>
    <cfRule type="expression" dxfId="312" priority="324">
      <formula>AF3="medio"</formula>
    </cfRule>
    <cfRule type="expression" dxfId="311" priority="325">
      <formula>AF3="alto"</formula>
    </cfRule>
  </conditionalFormatting>
  <conditionalFormatting sqref="AH3">
    <cfRule type="expression" dxfId="310" priority="316">
      <formula>AH3="medio alto"</formula>
    </cfRule>
    <cfRule type="expression" dxfId="309" priority="317">
      <formula>AH3="bajo"</formula>
    </cfRule>
    <cfRule type="expression" dxfId="308" priority="318">
      <formula>AH3="medio bajo"</formula>
    </cfRule>
    <cfRule type="expression" dxfId="307" priority="319">
      <formula>AH3="medio"</formula>
    </cfRule>
    <cfRule type="expression" dxfId="306" priority="320">
      <formula>AH3="alto"</formula>
    </cfRule>
  </conditionalFormatting>
  <conditionalFormatting sqref="AJ3:AK3">
    <cfRule type="expression" dxfId="305" priority="311">
      <formula>AJ3="medio alto"</formula>
    </cfRule>
    <cfRule type="expression" dxfId="304" priority="312">
      <formula>AJ3="bajo"</formula>
    </cfRule>
    <cfRule type="expression" dxfId="303" priority="313">
      <formula>AJ3="medio bajo"</formula>
    </cfRule>
    <cfRule type="expression" dxfId="302" priority="314">
      <formula>AJ3="medio"</formula>
    </cfRule>
    <cfRule type="expression" dxfId="301" priority="315">
      <formula>AJ3="alto"</formula>
    </cfRule>
  </conditionalFormatting>
  <conditionalFormatting sqref="AL3">
    <cfRule type="expression" dxfId="300" priority="306">
      <formula>AL3="medio alto"</formula>
    </cfRule>
    <cfRule type="expression" dxfId="299" priority="307">
      <formula>AL3="bajo"</formula>
    </cfRule>
    <cfRule type="expression" dxfId="298" priority="308">
      <formula>AL3="medio bajo"</formula>
    </cfRule>
    <cfRule type="expression" dxfId="297" priority="309">
      <formula>AL3="medio"</formula>
    </cfRule>
    <cfRule type="expression" dxfId="296" priority="310">
      <formula>AL3="alto"</formula>
    </cfRule>
  </conditionalFormatting>
  <conditionalFormatting sqref="E3">
    <cfRule type="expression" dxfId="295" priority="301">
      <formula>E3="medio alto"</formula>
    </cfRule>
    <cfRule type="expression" dxfId="294" priority="302">
      <formula>E3="bajo"</formula>
    </cfRule>
    <cfRule type="expression" dxfId="293" priority="303">
      <formula>E3="medio bajo"</formula>
    </cfRule>
    <cfRule type="expression" dxfId="292" priority="304">
      <formula>E3="medio"</formula>
    </cfRule>
    <cfRule type="expression" dxfId="291" priority="305">
      <formula>E3="alto"</formula>
    </cfRule>
  </conditionalFormatting>
  <conditionalFormatting sqref="F5:I5">
    <cfRule type="expression" dxfId="290" priority="296">
      <formula>F5="medio alto"</formula>
    </cfRule>
    <cfRule type="expression" dxfId="289" priority="297">
      <formula>F5="bajo"</formula>
    </cfRule>
    <cfRule type="expression" dxfId="288" priority="298">
      <formula>F5="medio bajo"</formula>
    </cfRule>
    <cfRule type="expression" dxfId="287" priority="299">
      <formula>F5="medio"</formula>
    </cfRule>
    <cfRule type="expression" dxfId="286" priority="300">
      <formula>F5="alto"</formula>
    </cfRule>
  </conditionalFormatting>
  <conditionalFormatting sqref="E5">
    <cfRule type="expression" dxfId="285" priority="291">
      <formula>E5="medio alto"</formula>
    </cfRule>
    <cfRule type="expression" dxfId="284" priority="292">
      <formula>E5="bajo"</formula>
    </cfRule>
    <cfRule type="expression" dxfId="283" priority="293">
      <formula>E5="medio bajo"</formula>
    </cfRule>
    <cfRule type="expression" dxfId="282" priority="294">
      <formula>E5="medio"</formula>
    </cfRule>
    <cfRule type="expression" dxfId="281" priority="295">
      <formula>E5="alto"</formula>
    </cfRule>
  </conditionalFormatting>
  <conditionalFormatting sqref="F6:I6">
    <cfRule type="expression" dxfId="280" priority="286">
      <formula>F6="medio alto"</formula>
    </cfRule>
    <cfRule type="expression" dxfId="279" priority="287">
      <formula>F6="bajo"</formula>
    </cfRule>
    <cfRule type="expression" dxfId="278" priority="288">
      <formula>F6="medio bajo"</formula>
    </cfRule>
    <cfRule type="expression" dxfId="277" priority="289">
      <formula>F6="medio"</formula>
    </cfRule>
    <cfRule type="expression" dxfId="276" priority="290">
      <formula>F6="alto"</formula>
    </cfRule>
  </conditionalFormatting>
  <conditionalFormatting sqref="E6">
    <cfRule type="expression" dxfId="275" priority="281">
      <formula>E6="medio alto"</formula>
    </cfRule>
    <cfRule type="expression" dxfId="274" priority="282">
      <formula>E6="bajo"</formula>
    </cfRule>
    <cfRule type="expression" dxfId="273" priority="283">
      <formula>E6="medio bajo"</formula>
    </cfRule>
    <cfRule type="expression" dxfId="272" priority="284">
      <formula>E6="medio"</formula>
    </cfRule>
    <cfRule type="expression" dxfId="271" priority="285">
      <formula>E6="alto"</formula>
    </cfRule>
  </conditionalFormatting>
  <conditionalFormatting sqref="F7:I7">
    <cfRule type="expression" dxfId="270" priority="276">
      <formula>F7="medio alto"</formula>
    </cfRule>
    <cfRule type="expression" dxfId="269" priority="277">
      <formula>F7="bajo"</formula>
    </cfRule>
    <cfRule type="expression" dxfId="268" priority="278">
      <formula>F7="medio bajo"</formula>
    </cfRule>
    <cfRule type="expression" dxfId="267" priority="279">
      <formula>F7="medio"</formula>
    </cfRule>
    <cfRule type="expression" dxfId="266" priority="280">
      <formula>F7="alto"</formula>
    </cfRule>
  </conditionalFormatting>
  <conditionalFormatting sqref="E7">
    <cfRule type="expression" dxfId="265" priority="271">
      <formula>E7="medio alto"</formula>
    </cfRule>
    <cfRule type="expression" dxfId="264" priority="272">
      <formula>E7="bajo"</formula>
    </cfRule>
    <cfRule type="expression" dxfId="263" priority="273">
      <formula>E7="medio bajo"</formula>
    </cfRule>
    <cfRule type="expression" dxfId="262" priority="274">
      <formula>E7="medio"</formula>
    </cfRule>
    <cfRule type="expression" dxfId="261" priority="275">
      <formula>E7="alto"</formula>
    </cfRule>
  </conditionalFormatting>
  <conditionalFormatting sqref="K3">
    <cfRule type="expression" dxfId="260" priority="266">
      <formula>K3="medio alto"</formula>
    </cfRule>
    <cfRule type="expression" dxfId="259" priority="267">
      <formula>K3="bajo"</formula>
    </cfRule>
    <cfRule type="expression" dxfId="258" priority="268">
      <formula>K3="medio bajo"</formula>
    </cfRule>
    <cfRule type="expression" dxfId="257" priority="269">
      <formula>K3="medio"</formula>
    </cfRule>
    <cfRule type="expression" dxfId="256" priority="270">
      <formula>K3="alto"</formula>
    </cfRule>
  </conditionalFormatting>
  <conditionalFormatting sqref="L5:M5">
    <cfRule type="expression" dxfId="255" priority="261">
      <formula>L5="medio alto"</formula>
    </cfRule>
    <cfRule type="expression" dxfId="254" priority="262">
      <formula>L5="bajo"</formula>
    </cfRule>
    <cfRule type="expression" dxfId="253" priority="263">
      <formula>L5="medio bajo"</formula>
    </cfRule>
    <cfRule type="expression" dxfId="252" priority="264">
      <formula>L5="medio"</formula>
    </cfRule>
    <cfRule type="expression" dxfId="251" priority="265">
      <formula>L5="alto"</formula>
    </cfRule>
  </conditionalFormatting>
  <conditionalFormatting sqref="N5:P5">
    <cfRule type="expression" dxfId="250" priority="256">
      <formula>N5="medio alto"</formula>
    </cfRule>
    <cfRule type="expression" dxfId="249" priority="257">
      <formula>N5="bajo"</formula>
    </cfRule>
    <cfRule type="expression" dxfId="248" priority="258">
      <formula>N5="medio bajo"</formula>
    </cfRule>
    <cfRule type="expression" dxfId="247" priority="259">
      <formula>N5="medio"</formula>
    </cfRule>
    <cfRule type="expression" dxfId="246" priority="260">
      <formula>N5="alto"</formula>
    </cfRule>
  </conditionalFormatting>
  <conditionalFormatting sqref="L6:M6">
    <cfRule type="expression" dxfId="245" priority="251">
      <formula>L6="medio alto"</formula>
    </cfRule>
    <cfRule type="expression" dxfId="244" priority="252">
      <formula>L6="bajo"</formula>
    </cfRule>
    <cfRule type="expression" dxfId="243" priority="253">
      <formula>L6="medio bajo"</formula>
    </cfRule>
    <cfRule type="expression" dxfId="242" priority="254">
      <formula>L6="medio"</formula>
    </cfRule>
    <cfRule type="expression" dxfId="241" priority="255">
      <formula>L6="alto"</formula>
    </cfRule>
  </conditionalFormatting>
  <conditionalFormatting sqref="N6:P6">
    <cfRule type="expression" dxfId="240" priority="246">
      <formula>N6="medio alto"</formula>
    </cfRule>
    <cfRule type="expression" dxfId="239" priority="247">
      <formula>N6="bajo"</formula>
    </cfRule>
    <cfRule type="expression" dxfId="238" priority="248">
      <formula>N6="medio bajo"</formula>
    </cfRule>
    <cfRule type="expression" dxfId="237" priority="249">
      <formula>N6="medio"</formula>
    </cfRule>
    <cfRule type="expression" dxfId="236" priority="250">
      <formula>N6="alto"</formula>
    </cfRule>
  </conditionalFormatting>
  <conditionalFormatting sqref="L7:M7">
    <cfRule type="expression" dxfId="235" priority="241">
      <formula>L7="medio alto"</formula>
    </cfRule>
    <cfRule type="expression" dxfId="234" priority="242">
      <formula>L7="bajo"</formula>
    </cfRule>
    <cfRule type="expression" dxfId="233" priority="243">
      <formula>L7="medio bajo"</formula>
    </cfRule>
    <cfRule type="expression" dxfId="232" priority="244">
      <formula>L7="medio"</formula>
    </cfRule>
    <cfRule type="expression" dxfId="231" priority="245">
      <formula>L7="alto"</formula>
    </cfRule>
  </conditionalFormatting>
  <conditionalFormatting sqref="N7:P7">
    <cfRule type="expression" dxfId="230" priority="236">
      <formula>N7="medio alto"</formula>
    </cfRule>
    <cfRule type="expression" dxfId="229" priority="237">
      <formula>N7="bajo"</formula>
    </cfRule>
    <cfRule type="expression" dxfId="228" priority="238">
      <formula>N7="medio bajo"</formula>
    </cfRule>
    <cfRule type="expression" dxfId="227" priority="239">
      <formula>N7="medio"</formula>
    </cfRule>
    <cfRule type="expression" dxfId="226" priority="240">
      <formula>N7="alto"</formula>
    </cfRule>
  </conditionalFormatting>
  <conditionalFormatting sqref="Q3">
    <cfRule type="expression" dxfId="225" priority="231">
      <formula>Q3="medio alto"</formula>
    </cfRule>
    <cfRule type="expression" dxfId="224" priority="232">
      <formula>Q3="bajo"</formula>
    </cfRule>
    <cfRule type="expression" dxfId="223" priority="233">
      <formula>Q3="medio bajo"</formula>
    </cfRule>
    <cfRule type="expression" dxfId="222" priority="234">
      <formula>Q3="medio"</formula>
    </cfRule>
    <cfRule type="expression" dxfId="221" priority="235">
      <formula>Q3="alto"</formula>
    </cfRule>
  </conditionalFormatting>
  <conditionalFormatting sqref="R5:S5">
    <cfRule type="expression" dxfId="220" priority="226">
      <formula>R5="medio alto"</formula>
    </cfRule>
    <cfRule type="expression" dxfId="219" priority="227">
      <formula>R5="bajo"</formula>
    </cfRule>
    <cfRule type="expression" dxfId="218" priority="228">
      <formula>R5="medio bajo"</formula>
    </cfRule>
    <cfRule type="expression" dxfId="217" priority="229">
      <formula>R5="medio"</formula>
    </cfRule>
    <cfRule type="expression" dxfId="216" priority="230">
      <formula>R5="alto"</formula>
    </cfRule>
  </conditionalFormatting>
  <conditionalFormatting sqref="T5:U5">
    <cfRule type="expression" dxfId="215" priority="221">
      <formula>T5="medio alto"</formula>
    </cfRule>
    <cfRule type="expression" dxfId="214" priority="222">
      <formula>T5="bajo"</formula>
    </cfRule>
    <cfRule type="expression" dxfId="213" priority="223">
      <formula>T5="medio bajo"</formula>
    </cfRule>
    <cfRule type="expression" dxfId="212" priority="224">
      <formula>T5="medio"</formula>
    </cfRule>
    <cfRule type="expression" dxfId="211" priority="225">
      <formula>T5="alto"</formula>
    </cfRule>
  </conditionalFormatting>
  <conditionalFormatting sqref="Q5">
    <cfRule type="expression" dxfId="210" priority="216">
      <formula>Q5="medio alto"</formula>
    </cfRule>
    <cfRule type="expression" dxfId="209" priority="217">
      <formula>Q5="bajo"</formula>
    </cfRule>
    <cfRule type="expression" dxfId="208" priority="218">
      <formula>Q5="medio bajo"</formula>
    </cfRule>
    <cfRule type="expression" dxfId="207" priority="219">
      <formula>Q5="medio"</formula>
    </cfRule>
    <cfRule type="expression" dxfId="206" priority="220">
      <formula>Q5="alto"</formula>
    </cfRule>
  </conditionalFormatting>
  <conditionalFormatting sqref="R6:S6">
    <cfRule type="expression" dxfId="205" priority="211">
      <formula>R6="medio alto"</formula>
    </cfRule>
    <cfRule type="expression" dxfId="204" priority="212">
      <formula>R6="bajo"</formula>
    </cfRule>
    <cfRule type="expression" dxfId="203" priority="213">
      <formula>R6="medio bajo"</formula>
    </cfRule>
    <cfRule type="expression" dxfId="202" priority="214">
      <formula>R6="medio"</formula>
    </cfRule>
    <cfRule type="expression" dxfId="201" priority="215">
      <formula>R6="alto"</formula>
    </cfRule>
  </conditionalFormatting>
  <conditionalFormatting sqref="T6:U6">
    <cfRule type="expression" dxfId="200" priority="206">
      <formula>T6="medio alto"</formula>
    </cfRule>
    <cfRule type="expression" dxfId="199" priority="207">
      <formula>T6="bajo"</formula>
    </cfRule>
    <cfRule type="expression" dxfId="198" priority="208">
      <formula>T6="medio bajo"</formula>
    </cfRule>
    <cfRule type="expression" dxfId="197" priority="209">
      <formula>T6="medio"</formula>
    </cfRule>
    <cfRule type="expression" dxfId="196" priority="210">
      <formula>T6="alto"</formula>
    </cfRule>
  </conditionalFormatting>
  <conditionalFormatting sqref="Q6">
    <cfRule type="expression" dxfId="195" priority="201">
      <formula>Q6="medio alto"</formula>
    </cfRule>
    <cfRule type="expression" dxfId="194" priority="202">
      <formula>Q6="bajo"</formula>
    </cfRule>
    <cfRule type="expression" dxfId="193" priority="203">
      <formula>Q6="medio bajo"</formula>
    </cfRule>
    <cfRule type="expression" dxfId="192" priority="204">
      <formula>Q6="medio"</formula>
    </cfRule>
    <cfRule type="expression" dxfId="191" priority="205">
      <formula>Q6="alto"</formula>
    </cfRule>
  </conditionalFormatting>
  <conditionalFormatting sqref="R7:S7">
    <cfRule type="expression" dxfId="190" priority="196">
      <formula>R7="medio alto"</formula>
    </cfRule>
    <cfRule type="expression" dxfId="189" priority="197">
      <formula>R7="bajo"</formula>
    </cfRule>
    <cfRule type="expression" dxfId="188" priority="198">
      <formula>R7="medio bajo"</formula>
    </cfRule>
    <cfRule type="expression" dxfId="187" priority="199">
      <formula>R7="medio"</formula>
    </cfRule>
    <cfRule type="expression" dxfId="186" priority="200">
      <formula>R7="alto"</formula>
    </cfRule>
  </conditionalFormatting>
  <conditionalFormatting sqref="T7:U7">
    <cfRule type="expression" dxfId="185" priority="191">
      <formula>T7="medio alto"</formula>
    </cfRule>
    <cfRule type="expression" dxfId="184" priority="192">
      <formula>T7="bajo"</formula>
    </cfRule>
    <cfRule type="expression" dxfId="183" priority="193">
      <formula>T7="medio bajo"</formula>
    </cfRule>
    <cfRule type="expression" dxfId="182" priority="194">
      <formula>T7="medio"</formula>
    </cfRule>
    <cfRule type="expression" dxfId="181" priority="195">
      <formula>T7="alto"</formula>
    </cfRule>
  </conditionalFormatting>
  <conditionalFormatting sqref="Q7">
    <cfRule type="expression" dxfId="180" priority="186">
      <formula>Q7="medio alto"</formula>
    </cfRule>
    <cfRule type="expression" dxfId="179" priority="187">
      <formula>Q7="bajo"</formula>
    </cfRule>
    <cfRule type="expression" dxfId="178" priority="188">
      <formula>Q7="medio bajo"</formula>
    </cfRule>
    <cfRule type="expression" dxfId="177" priority="189">
      <formula>Q7="medio"</formula>
    </cfRule>
    <cfRule type="expression" dxfId="176" priority="190">
      <formula>Q7="alto"</formula>
    </cfRule>
  </conditionalFormatting>
  <conditionalFormatting sqref="W3">
    <cfRule type="expression" dxfId="175" priority="181">
      <formula>W3="medio alto"</formula>
    </cfRule>
    <cfRule type="expression" dxfId="174" priority="182">
      <formula>W3="bajo"</formula>
    </cfRule>
    <cfRule type="expression" dxfId="173" priority="183">
      <formula>W3="medio bajo"</formula>
    </cfRule>
    <cfRule type="expression" dxfId="172" priority="184">
      <formula>W3="medio"</formula>
    </cfRule>
    <cfRule type="expression" dxfId="171" priority="185">
      <formula>W3="alto"</formula>
    </cfRule>
  </conditionalFormatting>
  <conditionalFormatting sqref="X5">
    <cfRule type="expression" dxfId="170" priority="161">
      <formula>X5="medio alto"</formula>
    </cfRule>
    <cfRule type="expression" dxfId="169" priority="162">
      <formula>X5="bajo"</formula>
    </cfRule>
    <cfRule type="expression" dxfId="168" priority="163">
      <formula>X5="medio bajo"</formula>
    </cfRule>
    <cfRule type="expression" dxfId="167" priority="164">
      <formula>X5="medio"</formula>
    </cfRule>
    <cfRule type="expression" dxfId="166" priority="165">
      <formula>X5="alto"</formula>
    </cfRule>
  </conditionalFormatting>
  <conditionalFormatting sqref="Y5:Z5">
    <cfRule type="expression" dxfId="165" priority="156">
      <formula>Y5="medio alto"</formula>
    </cfRule>
    <cfRule type="expression" dxfId="164" priority="157">
      <formula>Y5="bajo"</formula>
    </cfRule>
    <cfRule type="expression" dxfId="163" priority="158">
      <formula>Y5="medio bajo"</formula>
    </cfRule>
    <cfRule type="expression" dxfId="162" priority="159">
      <formula>Y5="medio"</formula>
    </cfRule>
    <cfRule type="expression" dxfId="161" priority="160">
      <formula>Y5="alto"</formula>
    </cfRule>
  </conditionalFormatting>
  <conditionalFormatting sqref="AA5:AB5">
    <cfRule type="expression" dxfId="160" priority="151">
      <formula>AA5="medio alto"</formula>
    </cfRule>
    <cfRule type="expression" dxfId="159" priority="152">
      <formula>AA5="bajo"</formula>
    </cfRule>
    <cfRule type="expression" dxfId="158" priority="153">
      <formula>AA5="medio bajo"</formula>
    </cfRule>
    <cfRule type="expression" dxfId="157" priority="154">
      <formula>AA5="medio"</formula>
    </cfRule>
    <cfRule type="expression" dxfId="156" priority="155">
      <formula>AA5="alto"</formula>
    </cfRule>
  </conditionalFormatting>
  <conditionalFormatting sqref="W5">
    <cfRule type="expression" dxfId="155" priority="146">
      <formula>W5="medio alto"</formula>
    </cfRule>
    <cfRule type="expression" dxfId="154" priority="147">
      <formula>W5="bajo"</formula>
    </cfRule>
    <cfRule type="expression" dxfId="153" priority="148">
      <formula>W5="medio bajo"</formula>
    </cfRule>
    <cfRule type="expression" dxfId="152" priority="149">
      <formula>W5="medio"</formula>
    </cfRule>
    <cfRule type="expression" dxfId="151" priority="150">
      <formula>W5="alto"</formula>
    </cfRule>
  </conditionalFormatting>
  <conditionalFormatting sqref="X6">
    <cfRule type="expression" dxfId="150" priority="141">
      <formula>X6="medio alto"</formula>
    </cfRule>
    <cfRule type="expression" dxfId="149" priority="142">
      <formula>X6="bajo"</formula>
    </cfRule>
    <cfRule type="expression" dxfId="148" priority="143">
      <formula>X6="medio bajo"</formula>
    </cfRule>
    <cfRule type="expression" dxfId="147" priority="144">
      <formula>X6="medio"</formula>
    </cfRule>
    <cfRule type="expression" dxfId="146" priority="145">
      <formula>X6="alto"</formula>
    </cfRule>
  </conditionalFormatting>
  <conditionalFormatting sqref="Y6:Z6">
    <cfRule type="expression" dxfId="145" priority="136">
      <formula>Y6="medio alto"</formula>
    </cfRule>
    <cfRule type="expression" dxfId="144" priority="137">
      <formula>Y6="bajo"</formula>
    </cfRule>
    <cfRule type="expression" dxfId="143" priority="138">
      <formula>Y6="medio bajo"</formula>
    </cfRule>
    <cfRule type="expression" dxfId="142" priority="139">
      <formula>Y6="medio"</formula>
    </cfRule>
    <cfRule type="expression" dxfId="141" priority="140">
      <formula>Y6="alto"</formula>
    </cfRule>
  </conditionalFormatting>
  <conditionalFormatting sqref="AA6:AB6">
    <cfRule type="expression" dxfId="140" priority="131">
      <formula>AA6="medio alto"</formula>
    </cfRule>
    <cfRule type="expression" dxfId="139" priority="132">
      <formula>AA6="bajo"</formula>
    </cfRule>
    <cfRule type="expression" dxfId="138" priority="133">
      <formula>AA6="medio bajo"</formula>
    </cfRule>
    <cfRule type="expression" dxfId="137" priority="134">
      <formula>AA6="medio"</formula>
    </cfRule>
    <cfRule type="expression" dxfId="136" priority="135">
      <formula>AA6="alto"</formula>
    </cfRule>
  </conditionalFormatting>
  <conditionalFormatting sqref="W6">
    <cfRule type="expression" dxfId="135" priority="126">
      <formula>W6="medio alto"</formula>
    </cfRule>
    <cfRule type="expression" dxfId="134" priority="127">
      <formula>W6="bajo"</formula>
    </cfRule>
    <cfRule type="expression" dxfId="133" priority="128">
      <formula>W6="medio bajo"</formula>
    </cfRule>
    <cfRule type="expression" dxfId="132" priority="129">
      <formula>W6="medio"</formula>
    </cfRule>
    <cfRule type="expression" dxfId="131" priority="130">
      <formula>W6="alto"</formula>
    </cfRule>
  </conditionalFormatting>
  <conditionalFormatting sqref="X7">
    <cfRule type="expression" dxfId="130" priority="121">
      <formula>X7="medio alto"</formula>
    </cfRule>
    <cfRule type="expression" dxfId="129" priority="122">
      <formula>X7="bajo"</formula>
    </cfRule>
    <cfRule type="expression" dxfId="128" priority="123">
      <formula>X7="medio bajo"</formula>
    </cfRule>
    <cfRule type="expression" dxfId="127" priority="124">
      <formula>X7="medio"</formula>
    </cfRule>
    <cfRule type="expression" dxfId="126" priority="125">
      <formula>X7="alto"</formula>
    </cfRule>
  </conditionalFormatting>
  <conditionalFormatting sqref="Y7:Z7">
    <cfRule type="expression" dxfId="125" priority="116">
      <formula>Y7="medio alto"</formula>
    </cfRule>
    <cfRule type="expression" dxfId="124" priority="117">
      <formula>Y7="bajo"</formula>
    </cfRule>
    <cfRule type="expression" dxfId="123" priority="118">
      <formula>Y7="medio bajo"</formula>
    </cfRule>
    <cfRule type="expression" dxfId="122" priority="119">
      <formula>Y7="medio"</formula>
    </cfRule>
    <cfRule type="expression" dxfId="121" priority="120">
      <formula>Y7="alto"</formula>
    </cfRule>
  </conditionalFormatting>
  <conditionalFormatting sqref="AA7:AB7">
    <cfRule type="expression" dxfId="120" priority="111">
      <formula>AA7="medio alto"</formula>
    </cfRule>
    <cfRule type="expression" dxfId="119" priority="112">
      <formula>AA7="bajo"</formula>
    </cfRule>
    <cfRule type="expression" dxfId="118" priority="113">
      <formula>AA7="medio bajo"</formula>
    </cfRule>
    <cfRule type="expression" dxfId="117" priority="114">
      <formula>AA7="medio"</formula>
    </cfRule>
    <cfRule type="expression" dxfId="116" priority="115">
      <formula>AA7="alto"</formula>
    </cfRule>
  </conditionalFormatting>
  <conditionalFormatting sqref="W7">
    <cfRule type="expression" dxfId="115" priority="106">
      <formula>W7="medio alto"</formula>
    </cfRule>
    <cfRule type="expression" dxfId="114" priority="107">
      <formula>W7="bajo"</formula>
    </cfRule>
    <cfRule type="expression" dxfId="113" priority="108">
      <formula>W7="medio bajo"</formula>
    </cfRule>
    <cfRule type="expression" dxfId="112" priority="109">
      <formula>W7="medio"</formula>
    </cfRule>
    <cfRule type="expression" dxfId="111" priority="110">
      <formula>W7="alto"</formula>
    </cfRule>
  </conditionalFormatting>
  <conditionalFormatting sqref="AC3">
    <cfRule type="expression" dxfId="110" priority="101">
      <formula>AC3="medio alto"</formula>
    </cfRule>
    <cfRule type="expression" dxfId="109" priority="102">
      <formula>AC3="bajo"</formula>
    </cfRule>
    <cfRule type="expression" dxfId="108" priority="103">
      <formula>AC3="medio bajo"</formula>
    </cfRule>
    <cfRule type="expression" dxfId="107" priority="104">
      <formula>AC3="medio"</formula>
    </cfRule>
    <cfRule type="expression" dxfId="106" priority="105">
      <formula>AC3="alto"</formula>
    </cfRule>
  </conditionalFormatting>
  <conditionalFormatting sqref="AD6:AE6">
    <cfRule type="expression" dxfId="105" priority="96">
      <formula>AD6="medio alto"</formula>
    </cfRule>
    <cfRule type="expression" dxfId="104" priority="97">
      <formula>AD6="bajo"</formula>
    </cfRule>
    <cfRule type="expression" dxfId="103" priority="98">
      <formula>AD6="medio bajo"</formula>
    </cfRule>
    <cfRule type="expression" dxfId="102" priority="99">
      <formula>AD6="medio"</formula>
    </cfRule>
    <cfRule type="expression" dxfId="101" priority="100">
      <formula>AD6="alto"</formula>
    </cfRule>
  </conditionalFormatting>
  <conditionalFormatting sqref="AF6:AG6">
    <cfRule type="expression" dxfId="100" priority="91">
      <formula>AF6="medio alto"</formula>
    </cfRule>
    <cfRule type="expression" dxfId="99" priority="92">
      <formula>AF6="bajo"</formula>
    </cfRule>
    <cfRule type="expression" dxfId="98" priority="93">
      <formula>AF6="medio bajo"</formula>
    </cfRule>
    <cfRule type="expression" dxfId="97" priority="94">
      <formula>AF6="medio"</formula>
    </cfRule>
    <cfRule type="expression" dxfId="96" priority="95">
      <formula>AF6="alto"</formula>
    </cfRule>
  </conditionalFormatting>
  <conditionalFormatting sqref="AH6">
    <cfRule type="expression" dxfId="95" priority="86">
      <formula>AH6="medio alto"</formula>
    </cfRule>
    <cfRule type="expression" dxfId="94" priority="87">
      <formula>AH6="bajo"</formula>
    </cfRule>
    <cfRule type="expression" dxfId="93" priority="88">
      <formula>AH6="medio bajo"</formula>
    </cfRule>
    <cfRule type="expression" dxfId="92" priority="89">
      <formula>AH6="medio"</formula>
    </cfRule>
    <cfRule type="expression" dxfId="91" priority="90">
      <formula>AH6="alto"</formula>
    </cfRule>
  </conditionalFormatting>
  <conditionalFormatting sqref="AC6">
    <cfRule type="expression" dxfId="90" priority="81">
      <formula>AC6="medio alto"</formula>
    </cfRule>
    <cfRule type="expression" dxfId="89" priority="82">
      <formula>AC6="bajo"</formula>
    </cfRule>
    <cfRule type="expression" dxfId="88" priority="83">
      <formula>AC6="medio bajo"</formula>
    </cfRule>
    <cfRule type="expression" dxfId="87" priority="84">
      <formula>AC6="medio"</formula>
    </cfRule>
    <cfRule type="expression" dxfId="86" priority="85">
      <formula>AC6="alto"</formula>
    </cfRule>
  </conditionalFormatting>
  <conditionalFormatting sqref="AD7:AE7">
    <cfRule type="expression" dxfId="85" priority="76">
      <formula>AD7="medio alto"</formula>
    </cfRule>
    <cfRule type="expression" dxfId="84" priority="77">
      <formula>AD7="bajo"</formula>
    </cfRule>
    <cfRule type="expression" dxfId="83" priority="78">
      <formula>AD7="medio bajo"</formula>
    </cfRule>
    <cfRule type="expression" dxfId="82" priority="79">
      <formula>AD7="medio"</formula>
    </cfRule>
    <cfRule type="expression" dxfId="81" priority="80">
      <formula>AD7="alto"</formula>
    </cfRule>
  </conditionalFormatting>
  <conditionalFormatting sqref="AF7:AG7">
    <cfRule type="expression" dxfId="80" priority="71">
      <formula>AF7="medio alto"</formula>
    </cfRule>
    <cfRule type="expression" dxfId="79" priority="72">
      <formula>AF7="bajo"</formula>
    </cfRule>
    <cfRule type="expression" dxfId="78" priority="73">
      <formula>AF7="medio bajo"</formula>
    </cfRule>
    <cfRule type="expression" dxfId="77" priority="74">
      <formula>AF7="medio"</formula>
    </cfRule>
    <cfRule type="expression" dxfId="76" priority="75">
      <formula>AF7="alto"</formula>
    </cfRule>
  </conditionalFormatting>
  <conditionalFormatting sqref="AH7">
    <cfRule type="expression" dxfId="75" priority="66">
      <formula>AH7="medio alto"</formula>
    </cfRule>
    <cfRule type="expression" dxfId="74" priority="67">
      <formula>AH7="bajo"</formula>
    </cfRule>
    <cfRule type="expression" dxfId="73" priority="68">
      <formula>AH7="medio bajo"</formula>
    </cfRule>
    <cfRule type="expression" dxfId="72" priority="69">
      <formula>AH7="medio"</formula>
    </cfRule>
    <cfRule type="expression" dxfId="71" priority="70">
      <formula>AH7="alto"</formula>
    </cfRule>
  </conditionalFormatting>
  <conditionalFormatting sqref="AC7">
    <cfRule type="expression" dxfId="70" priority="61">
      <formula>AC7="medio alto"</formula>
    </cfRule>
    <cfRule type="expression" dxfId="69" priority="62">
      <formula>AC7="bajo"</formula>
    </cfRule>
    <cfRule type="expression" dxfId="68" priority="63">
      <formula>AC7="medio bajo"</formula>
    </cfRule>
    <cfRule type="expression" dxfId="67" priority="64">
      <formula>AC7="medio"</formula>
    </cfRule>
    <cfRule type="expression" dxfId="66" priority="65">
      <formula>AC7="alto"</formula>
    </cfRule>
  </conditionalFormatting>
  <conditionalFormatting sqref="AK5">
    <cfRule type="expression" dxfId="65" priority="56">
      <formula>AK5="medio alto"</formula>
    </cfRule>
    <cfRule type="expression" dxfId="64" priority="57">
      <formula>AK5="bajo"</formula>
    </cfRule>
    <cfRule type="expression" dxfId="63" priority="58">
      <formula>AK5="medio bajo"</formula>
    </cfRule>
    <cfRule type="expression" dxfId="62" priority="59">
      <formula>AK5="medio"</formula>
    </cfRule>
    <cfRule type="expression" dxfId="61" priority="60">
      <formula>AK5="alto"</formula>
    </cfRule>
  </conditionalFormatting>
  <conditionalFormatting sqref="AL5">
    <cfRule type="expression" dxfId="60" priority="51">
      <formula>AL5="medio alto"</formula>
    </cfRule>
    <cfRule type="expression" dxfId="59" priority="52">
      <formula>AL5="bajo"</formula>
    </cfRule>
    <cfRule type="expression" dxfId="58" priority="53">
      <formula>AL5="medio bajo"</formula>
    </cfRule>
    <cfRule type="expression" dxfId="57" priority="54">
      <formula>AL5="medio"</formula>
    </cfRule>
    <cfRule type="expression" dxfId="56" priority="55">
      <formula>AL5="alto"</formula>
    </cfRule>
  </conditionalFormatting>
  <conditionalFormatting sqref="AK6">
    <cfRule type="expression" dxfId="55" priority="46">
      <formula>AK6="medio alto"</formula>
    </cfRule>
    <cfRule type="expression" dxfId="54" priority="47">
      <formula>AK6="bajo"</formula>
    </cfRule>
    <cfRule type="expression" dxfId="53" priority="48">
      <formula>AK6="medio bajo"</formula>
    </cfRule>
    <cfRule type="expression" dxfId="52" priority="49">
      <formula>AK6="medio"</formula>
    </cfRule>
    <cfRule type="expression" dxfId="51" priority="50">
      <formula>AK6="alto"</formula>
    </cfRule>
  </conditionalFormatting>
  <conditionalFormatting sqref="AL6">
    <cfRule type="expression" dxfId="50" priority="41">
      <formula>AL6="medio alto"</formula>
    </cfRule>
    <cfRule type="expression" dxfId="49" priority="42">
      <formula>AL6="bajo"</formula>
    </cfRule>
    <cfRule type="expression" dxfId="48" priority="43">
      <formula>AL6="medio bajo"</formula>
    </cfRule>
    <cfRule type="expression" dxfId="47" priority="44">
      <formula>AL6="medio"</formula>
    </cfRule>
    <cfRule type="expression" dxfId="46" priority="45">
      <formula>AL6="alto"</formula>
    </cfRule>
  </conditionalFormatting>
  <conditionalFormatting sqref="AK7">
    <cfRule type="expression" dxfId="45" priority="36">
      <formula>AK7="medio alto"</formula>
    </cfRule>
    <cfRule type="expression" dxfId="44" priority="37">
      <formula>AK7="bajo"</formula>
    </cfRule>
    <cfRule type="expression" dxfId="43" priority="38">
      <formula>AK7="medio bajo"</formula>
    </cfRule>
    <cfRule type="expression" dxfId="42" priority="39">
      <formula>AK7="medio"</formula>
    </cfRule>
    <cfRule type="expression" dxfId="41" priority="40">
      <formula>AK7="alto"</formula>
    </cfRule>
  </conditionalFormatting>
  <conditionalFormatting sqref="AL7">
    <cfRule type="expression" dxfId="40" priority="31">
      <formula>AL7="medio alto"</formula>
    </cfRule>
    <cfRule type="expression" dxfId="39" priority="32">
      <formula>AL7="bajo"</formula>
    </cfRule>
    <cfRule type="expression" dxfId="38" priority="33">
      <formula>AL7="medio bajo"</formula>
    </cfRule>
    <cfRule type="expression" dxfId="37" priority="34">
      <formula>AL7="medio"</formula>
    </cfRule>
    <cfRule type="expression" dxfId="36" priority="35">
      <formula>AL7="alto"</formula>
    </cfRule>
  </conditionalFormatting>
  <conditionalFormatting sqref="AK8">
    <cfRule type="expression" dxfId="35" priority="26">
      <formula>AK8="medio alto"</formula>
    </cfRule>
    <cfRule type="expression" dxfId="34" priority="27">
      <formula>AK8="bajo"</formula>
    </cfRule>
    <cfRule type="expression" dxfId="33" priority="28">
      <formula>AK8="medio bajo"</formula>
    </cfRule>
    <cfRule type="expression" dxfId="32" priority="29">
      <formula>AK8="medio"</formula>
    </cfRule>
    <cfRule type="expression" dxfId="31" priority="30">
      <formula>AK8="alto"</formula>
    </cfRule>
  </conditionalFormatting>
  <conditionalFormatting sqref="AL8">
    <cfRule type="expression" dxfId="30" priority="21">
      <formula>AL8="medio alto"</formula>
    </cfRule>
    <cfRule type="expression" dxfId="29" priority="22">
      <formula>AL8="bajo"</formula>
    </cfRule>
    <cfRule type="expression" dxfId="28" priority="23">
      <formula>AL8="medio bajo"</formula>
    </cfRule>
    <cfRule type="expression" dxfId="27" priority="24">
      <formula>AL8="medio"</formula>
    </cfRule>
    <cfRule type="expression" dxfId="26" priority="25">
      <formula>AL8="alto"</formula>
    </cfRule>
  </conditionalFormatting>
  <conditionalFormatting sqref="AD5:AE5">
    <cfRule type="expression" dxfId="25" priority="16">
      <formula>AD5="medio alto"</formula>
    </cfRule>
    <cfRule type="expression" dxfId="24" priority="17">
      <formula>AD5="bajo"</formula>
    </cfRule>
    <cfRule type="expression" dxfId="23" priority="18">
      <formula>AD5="medio bajo"</formula>
    </cfRule>
    <cfRule type="expression" dxfId="22" priority="19">
      <formula>AD5="medio"</formula>
    </cfRule>
    <cfRule type="expression" dxfId="21" priority="20">
      <formula>AD5="alto"</formula>
    </cfRule>
  </conditionalFormatting>
  <conditionalFormatting sqref="AF5:AG5">
    <cfRule type="expression" dxfId="20" priority="11">
      <formula>AF5="medio alto"</formula>
    </cfRule>
    <cfRule type="expression" dxfId="19" priority="12">
      <formula>AF5="bajo"</formula>
    </cfRule>
    <cfRule type="expression" dxfId="18" priority="13">
      <formula>AF5="medio bajo"</formula>
    </cfRule>
    <cfRule type="expression" dxfId="17" priority="14">
      <formula>AF5="medio"</formula>
    </cfRule>
    <cfRule type="expression" dxfId="16" priority="15">
      <formula>AF5="alto"</formula>
    </cfRule>
  </conditionalFormatting>
  <conditionalFormatting sqref="AH5">
    <cfRule type="expression" dxfId="15" priority="6">
      <formula>AH5="medio alto"</formula>
    </cfRule>
    <cfRule type="expression" dxfId="14" priority="7">
      <formula>AH5="bajo"</formula>
    </cfRule>
    <cfRule type="expression" dxfId="13" priority="8">
      <formula>AH5="medio bajo"</formula>
    </cfRule>
    <cfRule type="expression" dxfId="12" priority="9">
      <formula>AH5="medio"</formula>
    </cfRule>
    <cfRule type="expression" dxfId="11" priority="10">
      <formula>AH5="alto"</formula>
    </cfRule>
  </conditionalFormatting>
  <conditionalFormatting sqref="AC5">
    <cfRule type="expression" dxfId="10" priority="1">
      <formula>AC5="medio alto"</formula>
    </cfRule>
    <cfRule type="expression" dxfId="9" priority="2">
      <formula>AC5="bajo"</formula>
    </cfRule>
    <cfRule type="expression" dxfId="8" priority="3">
      <formula>AC5="medio bajo"</formula>
    </cfRule>
    <cfRule type="expression" dxfId="7" priority="4">
      <formula>AC5="medio"</formula>
    </cfRule>
    <cfRule type="expression" dxfId="6" priority="5">
      <formula>AC5="alto"</formula>
    </cfRule>
  </conditionalFormatting>
  <dataValidations xWindow="1481" yWindow="348" count="1">
    <dataValidation type="list" allowBlank="1" showInputMessage="1" showErrorMessage="1" sqref="AL12" xr:uid="{00000000-0002-0000-0200-000000000000}">
      <formula1>"Bajo, Medio Bajo, Medio, Medio Alto, Alto"</formula1>
    </dataValidation>
  </dataValidations>
  <printOptions horizontalCentered="1" verticalCentered="1"/>
  <pageMargins left="0" right="0" top="0.19685039370078741" bottom="0.19685039370078741" header="0.19685039370078741" footer="0.19685039370078741"/>
  <pageSetup paperSize="9" scale="75" orientation="landscape" r:id="rId1"/>
  <headerFooter alignWithMargins="0">
    <oddHeader>&amp;A</oddHeader>
    <oddFooter>Page &amp;P of &amp;N</oddFooter>
  </headerFooter>
  <extLst>
    <ext xmlns:x14="http://schemas.microsoft.com/office/spreadsheetml/2009/9/main" uri="{CCE6A557-97BC-4b89-ADB6-D9C93CAAB3DF}">
      <x14:dataValidations xmlns:xm="http://schemas.microsoft.com/office/excel/2006/main" xWindow="1481" yWindow="348" count="3">
        <x14:dataValidation type="list" allowBlank="1" showInputMessage="1" showErrorMessage="1" xr:uid="{00000000-0002-0000-0200-000001000000}">
          <x14:formula1>
            <xm:f>'Listas Desplegables'!$B$2:$B$6</xm:f>
          </x14:formula1>
          <xm:sqref>K5:K7 W3 AI8 AC3 E3 Q3 E5:E7 K3 Q5:Q7 W5:W7 AC5:AC7</xm:sqref>
        </x14:dataValidation>
        <x14:dataValidation type="list" allowBlank="1" showInputMessage="1" showErrorMessage="1" xr:uid="{00000000-0002-0000-0200-000002000000}">
          <x14:formula1>
            <xm:f>IF(D3="bajo",'Listas Desplegables'!$B$2:$B$6,IF(D3="medio bajo",'Listas Desplegables'!$C$2:$C$5,IF(D3="medio",'Listas Desplegables'!$D$2:$D$4,IF(D3="medio alto",'Listas Desplegables'!$E$2:$E$3,'Listas Desplegables'!$F$2:$F$2))))</xm:f>
          </x14:formula1>
          <xm:sqref>E8:AH8 R5:V7 X5:AB7 L5:P7 AD3:AH3 L3:P3 R3:V3 X3:AB3 AD5:AH7 F3:J3 F5:J7</xm:sqref>
        </x14:dataValidation>
        <x14:dataValidation type="list" allowBlank="1" showInputMessage="1" showErrorMessage="1" xr:uid="{00000000-0002-0000-0200-000003000000}">
          <x14:formula1>
            <xm:f>'Listas Desplegables'!$B$10:$B$19</xm:f>
          </x14:formula1>
          <xm:sqref>AL10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F6"/>
  <sheetViews>
    <sheetView showGridLines="0" zoomScaleNormal="100" zoomScaleSheetLayoutView="100" workbookViewId="0">
      <selection activeCell="F5" sqref="F5"/>
    </sheetView>
  </sheetViews>
  <sheetFormatPr baseColWidth="10" defaultRowHeight="12.75" x14ac:dyDescent="0.2"/>
  <cols>
    <col min="2" max="6" width="29.140625" customWidth="1"/>
  </cols>
  <sheetData>
    <row r="1" spans="1:6" x14ac:dyDescent="0.2">
      <c r="A1" s="35" t="s">
        <v>42</v>
      </c>
      <c r="B1" s="35" t="s">
        <v>43</v>
      </c>
      <c r="C1" s="35" t="s">
        <v>44</v>
      </c>
      <c r="D1" s="35" t="s">
        <v>0</v>
      </c>
      <c r="E1" s="35" t="s">
        <v>16</v>
      </c>
      <c r="F1" s="35" t="s">
        <v>17</v>
      </c>
    </row>
    <row r="2" spans="1:6" ht="45.6" customHeight="1" x14ac:dyDescent="0.2">
      <c r="A2" s="36" t="s">
        <v>35</v>
      </c>
      <c r="B2" s="37" t="s">
        <v>109</v>
      </c>
      <c r="C2" s="38" t="s">
        <v>39</v>
      </c>
      <c r="D2" s="38" t="s">
        <v>19</v>
      </c>
      <c r="E2" s="38" t="s">
        <v>18</v>
      </c>
      <c r="F2" s="38" t="s">
        <v>40</v>
      </c>
    </row>
    <row r="3" spans="1:6" ht="96" customHeight="1" x14ac:dyDescent="0.2">
      <c r="A3" s="39" t="s">
        <v>36</v>
      </c>
      <c r="B3" s="37" t="s">
        <v>110</v>
      </c>
      <c r="C3" s="38" t="s">
        <v>22</v>
      </c>
      <c r="D3" s="38" t="s">
        <v>20</v>
      </c>
      <c r="E3" s="38" t="s">
        <v>45</v>
      </c>
      <c r="F3" s="37" t="s">
        <v>50</v>
      </c>
    </row>
    <row r="4" spans="1:6" ht="89.25" x14ac:dyDescent="0.2">
      <c r="A4" s="40" t="s">
        <v>3</v>
      </c>
      <c r="B4" s="37" t="s">
        <v>111</v>
      </c>
      <c r="C4" s="38" t="s">
        <v>23</v>
      </c>
      <c r="D4" s="37" t="s">
        <v>51</v>
      </c>
      <c r="E4" s="38" t="s">
        <v>46</v>
      </c>
      <c r="F4" s="38" t="s">
        <v>47</v>
      </c>
    </row>
    <row r="5" spans="1:6" ht="115.9" customHeight="1" x14ac:dyDescent="0.2">
      <c r="A5" s="41" t="s">
        <v>37</v>
      </c>
      <c r="B5" s="37" t="s">
        <v>112</v>
      </c>
      <c r="C5" s="38" t="s">
        <v>24</v>
      </c>
      <c r="D5" s="37" t="s">
        <v>52</v>
      </c>
      <c r="E5" s="38" t="s">
        <v>48</v>
      </c>
      <c r="F5" s="37" t="s">
        <v>53</v>
      </c>
    </row>
    <row r="6" spans="1:6" ht="89.45" customHeight="1" x14ac:dyDescent="0.2">
      <c r="A6" s="42" t="s">
        <v>38</v>
      </c>
      <c r="B6" s="38" t="s">
        <v>41</v>
      </c>
      <c r="C6" s="38" t="s">
        <v>25</v>
      </c>
      <c r="D6" s="38" t="s">
        <v>21</v>
      </c>
      <c r="E6" s="38" t="s">
        <v>49</v>
      </c>
      <c r="F6" s="37" t="s">
        <v>54</v>
      </c>
    </row>
  </sheetData>
  <pageMargins left="0.7" right="0.7" top="0.75" bottom="0.75" header="0.3" footer="0.3"/>
  <pageSetup paperSize="9" scale="5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BY1448"/>
  <sheetViews>
    <sheetView showGridLines="0" zoomScale="80" zoomScaleNormal="80" zoomScaleSheetLayoutView="110" workbookViewId="0">
      <pane xSplit="8" ySplit="1" topLeftCell="AN2" activePane="bottomRight" state="frozen"/>
      <selection pane="topRight" activeCell="K1" sqref="K1"/>
      <selection pane="bottomLeft" activeCell="A2" sqref="A2"/>
      <selection pane="bottomRight" activeCell="AR18" sqref="AR18"/>
    </sheetView>
  </sheetViews>
  <sheetFormatPr baseColWidth="10" defaultColWidth="9.140625" defaultRowHeight="12.75" zeroHeight="1" x14ac:dyDescent="0.2"/>
  <cols>
    <col min="1" max="1" width="3.28515625" style="8" customWidth="1"/>
    <col min="2" max="2" width="9.28515625" style="8" customWidth="1"/>
    <col min="3" max="3" width="18" style="8" customWidth="1"/>
    <col min="4" max="4" width="19.7109375" style="8" customWidth="1"/>
    <col min="5" max="5" width="15.5703125" style="8" customWidth="1"/>
    <col min="6" max="6" width="27.28515625" style="8" customWidth="1"/>
    <col min="7" max="7" width="14.7109375" style="8" customWidth="1"/>
    <col min="8" max="8" width="37.28515625" style="8" customWidth="1"/>
    <col min="9" max="38" width="16.5703125" style="2" customWidth="1"/>
    <col min="39" max="39" width="16" style="2" customWidth="1"/>
    <col min="40" max="40" width="14" style="2" customWidth="1"/>
    <col min="41" max="99" width="11.5703125" style="2" customWidth="1"/>
    <col min="100" max="177" width="9.140625" style="2" customWidth="1"/>
    <col min="178" max="16384" width="9.140625" style="2"/>
  </cols>
  <sheetData>
    <row r="1" spans="1:77" ht="24" customHeight="1" x14ac:dyDescent="0.2">
      <c r="A1" s="105"/>
      <c r="B1" s="9"/>
      <c r="C1" s="15"/>
      <c r="D1" s="15"/>
      <c r="E1" s="9"/>
      <c r="F1" s="9"/>
      <c r="G1" s="9"/>
      <c r="H1" s="10"/>
      <c r="I1" s="103" t="s">
        <v>43</v>
      </c>
      <c r="J1" s="104"/>
      <c r="K1" s="104"/>
      <c r="L1" s="104"/>
      <c r="M1" s="104"/>
      <c r="N1" s="104"/>
      <c r="O1" s="103" t="s">
        <v>44</v>
      </c>
      <c r="P1" s="104"/>
      <c r="Q1" s="104"/>
      <c r="R1" s="104"/>
      <c r="S1" s="104"/>
      <c r="T1" s="104"/>
      <c r="U1" s="103" t="s">
        <v>0</v>
      </c>
      <c r="V1" s="104"/>
      <c r="W1" s="104"/>
      <c r="X1" s="104"/>
      <c r="Y1" s="104"/>
      <c r="Z1" s="104"/>
      <c r="AA1" s="103" t="s">
        <v>16</v>
      </c>
      <c r="AB1" s="104"/>
      <c r="AC1" s="104"/>
      <c r="AD1" s="104"/>
      <c r="AE1" s="104"/>
      <c r="AF1" s="104"/>
      <c r="AG1" s="103" t="s">
        <v>17</v>
      </c>
      <c r="AH1" s="104"/>
      <c r="AI1" s="104"/>
      <c r="AJ1" s="104"/>
      <c r="AK1" s="104"/>
      <c r="AL1" s="104"/>
      <c r="AM1" s="55" t="s">
        <v>34</v>
      </c>
      <c r="AN1" s="102" t="s">
        <v>72</v>
      </c>
      <c r="AO1" s="102"/>
      <c r="AP1" s="102"/>
      <c r="AQ1" s="102"/>
      <c r="AR1" s="102"/>
      <c r="AS1" s="6"/>
    </row>
    <row r="2" spans="1:77" ht="43.9" customHeight="1" x14ac:dyDescent="0.2">
      <c r="A2" s="105"/>
      <c r="B2" s="9" t="s">
        <v>26</v>
      </c>
      <c r="C2" s="9" t="s">
        <v>27</v>
      </c>
      <c r="D2" s="9" t="s">
        <v>28</v>
      </c>
      <c r="E2" s="9" t="s">
        <v>29</v>
      </c>
      <c r="F2" s="9" t="s">
        <v>30</v>
      </c>
      <c r="G2" s="9" t="s">
        <v>31</v>
      </c>
      <c r="H2" s="9" t="s">
        <v>14</v>
      </c>
      <c r="I2" s="17" t="s">
        <v>13</v>
      </c>
      <c r="J2" s="17" t="s">
        <v>8</v>
      </c>
      <c r="K2" s="17" t="s">
        <v>9</v>
      </c>
      <c r="L2" s="17" t="s">
        <v>10</v>
      </c>
      <c r="M2" s="17" t="s">
        <v>11</v>
      </c>
      <c r="N2" s="17" t="s">
        <v>12</v>
      </c>
      <c r="O2" s="17" t="s">
        <v>13</v>
      </c>
      <c r="P2" s="17" t="s">
        <v>8</v>
      </c>
      <c r="Q2" s="17" t="s">
        <v>9</v>
      </c>
      <c r="R2" s="17" t="s">
        <v>10</v>
      </c>
      <c r="S2" s="17" t="s">
        <v>11</v>
      </c>
      <c r="T2" s="17" t="s">
        <v>12</v>
      </c>
      <c r="U2" s="17" t="s">
        <v>13</v>
      </c>
      <c r="V2" s="17" t="s">
        <v>8</v>
      </c>
      <c r="W2" s="17" t="s">
        <v>9</v>
      </c>
      <c r="X2" s="17" t="s">
        <v>10</v>
      </c>
      <c r="Y2" s="17" t="s">
        <v>11</v>
      </c>
      <c r="Z2" s="17" t="s">
        <v>12</v>
      </c>
      <c r="AA2" s="17" t="s">
        <v>13</v>
      </c>
      <c r="AB2" s="17" t="s">
        <v>8</v>
      </c>
      <c r="AC2" s="17" t="s">
        <v>9</v>
      </c>
      <c r="AD2" s="17" t="s">
        <v>10</v>
      </c>
      <c r="AE2" s="17" t="s">
        <v>11</v>
      </c>
      <c r="AF2" s="17" t="s">
        <v>12</v>
      </c>
      <c r="AG2" s="17" t="s">
        <v>13</v>
      </c>
      <c r="AH2" s="17" t="s">
        <v>8</v>
      </c>
      <c r="AI2" s="17" t="s">
        <v>9</v>
      </c>
      <c r="AJ2" s="17" t="s">
        <v>10</v>
      </c>
      <c r="AK2" s="17" t="s">
        <v>11</v>
      </c>
      <c r="AL2" s="17" t="s">
        <v>12</v>
      </c>
      <c r="AM2" s="22" t="s">
        <v>70</v>
      </c>
      <c r="AN2" s="47" t="s">
        <v>17</v>
      </c>
      <c r="AO2" s="47" t="s">
        <v>0</v>
      </c>
      <c r="AP2" s="47" t="s">
        <v>16</v>
      </c>
      <c r="AQ2" s="58" t="s">
        <v>44</v>
      </c>
      <c r="AR2" s="58" t="s">
        <v>43</v>
      </c>
      <c r="AS2" s="31" t="s">
        <v>71</v>
      </c>
    </row>
    <row r="3" spans="1:77" s="20" customFormat="1" ht="43.9" customHeight="1" x14ac:dyDescent="0.2">
      <c r="A3" s="105"/>
      <c r="B3" s="49">
        <v>278</v>
      </c>
      <c r="C3" s="11" t="s">
        <v>32</v>
      </c>
      <c r="D3" s="50" t="s">
        <v>76</v>
      </c>
      <c r="E3" s="12"/>
      <c r="F3" s="51" t="s">
        <v>73</v>
      </c>
      <c r="G3" s="52">
        <v>29993</v>
      </c>
      <c r="H3" s="16" t="s">
        <v>5</v>
      </c>
      <c r="I3" s="18">
        <f>VLOOKUP('Análisis Impacto'!E3,$D$14:$E$18,2,0)</f>
        <v>2</v>
      </c>
      <c r="J3" s="18">
        <f>VLOOKUP('Análisis Impacto'!F3,$D$14:$E$18,2,0)</f>
        <v>3</v>
      </c>
      <c r="K3" s="18">
        <f>VLOOKUP('Análisis Impacto'!G3,$D$14:$E$18,2,0)</f>
        <v>4</v>
      </c>
      <c r="L3" s="18">
        <f>VLOOKUP('Análisis Impacto'!H3,$D$14:$E$18,2,0)</f>
        <v>5</v>
      </c>
      <c r="M3" s="18">
        <f>VLOOKUP('Análisis Impacto'!I3,$D$14:$E$18,2,0)</f>
        <v>5</v>
      </c>
      <c r="N3" s="18">
        <f>VLOOKUP('Análisis Impacto'!J3,$D$14:$E$18,2,0)</f>
        <v>5</v>
      </c>
      <c r="O3" s="18">
        <f>VLOOKUP('Análisis Impacto'!K3,$D$14:$E$18,2,0)</f>
        <v>1</v>
      </c>
      <c r="P3" s="18">
        <f>VLOOKUP('Análisis Impacto'!L3,$D$14:$E$18,2,0)</f>
        <v>3</v>
      </c>
      <c r="Q3" s="18">
        <f>VLOOKUP('Análisis Impacto'!M3,$D$14:$E$18,2,0)</f>
        <v>3</v>
      </c>
      <c r="R3" s="18">
        <f>VLOOKUP('Análisis Impacto'!N3,$D$14:$E$18,2,0)</f>
        <v>3</v>
      </c>
      <c r="S3" s="18">
        <f>VLOOKUP('Análisis Impacto'!O3,$D$14:$E$18,2,0)</f>
        <v>4</v>
      </c>
      <c r="T3" s="18">
        <f>VLOOKUP('Análisis Impacto'!P3,$D$14:$E$18,2,0)</f>
        <v>4</v>
      </c>
      <c r="U3" s="18">
        <f>VLOOKUP('Análisis Impacto'!Q3,$D$14:$E$18,2,0)</f>
        <v>2</v>
      </c>
      <c r="V3" s="18">
        <f>VLOOKUP('Análisis Impacto'!R3,$D$14:$E$18,2,0)</f>
        <v>3</v>
      </c>
      <c r="W3" s="18">
        <f>VLOOKUP('Análisis Impacto'!S3,$D$14:$E$18,2,0)</f>
        <v>4</v>
      </c>
      <c r="X3" s="18">
        <f>VLOOKUP('Análisis Impacto'!T3,$D$14:$E$18,2,0)</f>
        <v>5</v>
      </c>
      <c r="Y3" s="18">
        <f>VLOOKUP('Análisis Impacto'!U3,$D$14:$E$18,2,0)</f>
        <v>5</v>
      </c>
      <c r="Z3" s="18">
        <f>VLOOKUP('Análisis Impacto'!V3,$D$14:$E$18,2,0)</f>
        <v>4</v>
      </c>
      <c r="AA3" s="18">
        <f>VLOOKUP('Análisis Impacto'!W3,$D$14:$E$18,2,0)</f>
        <v>1</v>
      </c>
      <c r="AB3" s="18">
        <f>VLOOKUP('Análisis Impacto'!X3,$D$14:$E$18,2,0)</f>
        <v>2</v>
      </c>
      <c r="AC3" s="18">
        <f>VLOOKUP('Análisis Impacto'!Y3,$D$14:$E$18,2,0)</f>
        <v>3</v>
      </c>
      <c r="AD3" s="18">
        <f>VLOOKUP('Análisis Impacto'!Z3,$D$14:$E$18,2,0)</f>
        <v>4</v>
      </c>
      <c r="AE3" s="18">
        <f>VLOOKUP('Análisis Impacto'!AA3,$D$14:$E$18,2,0)</f>
        <v>5</v>
      </c>
      <c r="AF3" s="18">
        <f>VLOOKUP('Análisis Impacto'!AB3,$D$14:$E$18,2,0)</f>
        <v>5</v>
      </c>
      <c r="AG3" s="18">
        <f>VLOOKUP('Análisis Impacto'!AC3,$D$14:$E$18,2,0)</f>
        <v>2</v>
      </c>
      <c r="AH3" s="18">
        <f>VLOOKUP('Análisis Impacto'!AD3,$D$14:$E$18,2,0)</f>
        <v>4</v>
      </c>
      <c r="AI3" s="18">
        <f>VLOOKUP('Análisis Impacto'!AE3,$D$14:$E$18,2,0)</f>
        <v>5</v>
      </c>
      <c r="AJ3" s="18">
        <f>VLOOKUP('Análisis Impacto'!AF3,$D$14:$E$18,2,0)</f>
        <v>5</v>
      </c>
      <c r="AK3" s="18">
        <f>VLOOKUP('Análisis Impacto'!AG3,$D$14:$E$18,2,0)</f>
        <v>5</v>
      </c>
      <c r="AL3" s="18">
        <f>VLOOKUP('Análisis Impacto'!AH3,$D$14:$E$18,2,0)</f>
        <v>5</v>
      </c>
      <c r="AM3" s="30">
        <f>MAX(L3,R3,X3,AD3,AJ3)</f>
        <v>5</v>
      </c>
      <c r="AN3" s="45">
        <f>AJ3</f>
        <v>5</v>
      </c>
      <c r="AO3" s="45">
        <f>X3</f>
        <v>5</v>
      </c>
      <c r="AP3" s="45">
        <f>AD3</f>
        <v>4</v>
      </c>
      <c r="AQ3" s="45">
        <f>R3</f>
        <v>3</v>
      </c>
      <c r="AR3" s="45">
        <f>L3</f>
        <v>5</v>
      </c>
      <c r="AS3" s="46" t="str">
        <f>HLOOKUP(AM3,$AN$3:$AR$7,5,0)</f>
        <v>Clientes</v>
      </c>
    </row>
    <row r="4" spans="1:77" s="20" customFormat="1" ht="43.9" customHeight="1" x14ac:dyDescent="0.2">
      <c r="A4" s="105"/>
      <c r="B4" s="49">
        <v>278</v>
      </c>
      <c r="C4" s="11" t="s">
        <v>32</v>
      </c>
      <c r="D4" s="50" t="s">
        <v>76</v>
      </c>
      <c r="E4" s="12"/>
      <c r="F4" s="51" t="s">
        <v>73</v>
      </c>
      <c r="G4" s="52">
        <v>29993</v>
      </c>
      <c r="H4" s="16" t="s">
        <v>6</v>
      </c>
      <c r="I4" s="18">
        <f>VLOOKUP('Análisis Impacto'!E5,$D$14:$E$18,2,0)</f>
        <v>2</v>
      </c>
      <c r="J4" s="18">
        <f>VLOOKUP('Análisis Impacto'!F5,$D$14:$E$18,2,0)</f>
        <v>3</v>
      </c>
      <c r="K4" s="18">
        <f>VLOOKUP('Análisis Impacto'!G5,$D$14:$E$18,2,0)</f>
        <v>4</v>
      </c>
      <c r="L4" s="18">
        <f>VLOOKUP('Análisis Impacto'!H5,$D$14:$E$18,2,0)</f>
        <v>5</v>
      </c>
      <c r="M4" s="18">
        <f>VLOOKUP('Análisis Impacto'!I5,$D$14:$E$18,2,0)</f>
        <v>5</v>
      </c>
      <c r="N4" s="18">
        <f>VLOOKUP('Análisis Impacto'!J5,$D$14:$E$18,2,0)</f>
        <v>5</v>
      </c>
      <c r="O4" s="18">
        <f>VLOOKUP('Análisis Impacto'!K5,$D$14:$E$18,2,0)</f>
        <v>1</v>
      </c>
      <c r="P4" s="18">
        <f>VLOOKUP('Análisis Impacto'!L5,$D$14:$E$18,2,0)</f>
        <v>3</v>
      </c>
      <c r="Q4" s="18">
        <f>VLOOKUP('Análisis Impacto'!M5,$D$14:$E$18,2,0)</f>
        <v>3</v>
      </c>
      <c r="R4" s="18">
        <f>VLOOKUP('Análisis Impacto'!N5,$D$14:$E$18,2,0)</f>
        <v>3</v>
      </c>
      <c r="S4" s="18">
        <f>VLOOKUP('Análisis Impacto'!O5,$D$14:$E$18,2,0)</f>
        <v>4</v>
      </c>
      <c r="T4" s="18">
        <f>VLOOKUP('Análisis Impacto'!P5,$D$14:$E$18,2,0)</f>
        <v>4</v>
      </c>
      <c r="U4" s="18">
        <f>VLOOKUP('Análisis Impacto'!Q5,$D$14:$E$18,2,0)</f>
        <v>2</v>
      </c>
      <c r="V4" s="18">
        <f>VLOOKUP('Análisis Impacto'!R5,$D$14:$E$18,2,0)</f>
        <v>3</v>
      </c>
      <c r="W4" s="18">
        <f>VLOOKUP('Análisis Impacto'!S5,$D$14:$E$18,2,0)</f>
        <v>4</v>
      </c>
      <c r="X4" s="18">
        <f>VLOOKUP('Análisis Impacto'!T5,$D$14:$E$18,2,0)</f>
        <v>5</v>
      </c>
      <c r="Y4" s="18">
        <f>VLOOKUP('Análisis Impacto'!U5,$D$14:$E$18,2,0)</f>
        <v>5</v>
      </c>
      <c r="Z4" s="18">
        <f>VLOOKUP('Análisis Impacto'!V5,$D$14:$E$18,2,0)</f>
        <v>4</v>
      </c>
      <c r="AA4" s="18">
        <f>VLOOKUP('Análisis Impacto'!W5,$D$14:$E$18,2,0)</f>
        <v>1</v>
      </c>
      <c r="AB4" s="18">
        <f>VLOOKUP('Análisis Impacto'!X5,$D$14:$E$18,2,0)</f>
        <v>2</v>
      </c>
      <c r="AC4" s="18">
        <f>VLOOKUP('Análisis Impacto'!Y5,$D$14:$E$18,2,0)</f>
        <v>3</v>
      </c>
      <c r="AD4" s="18">
        <f>VLOOKUP('Análisis Impacto'!Z5,$D$14:$E$18,2,0)</f>
        <v>4</v>
      </c>
      <c r="AE4" s="18">
        <f>VLOOKUP('Análisis Impacto'!AA5,$D$14:$E$18,2,0)</f>
        <v>5</v>
      </c>
      <c r="AF4" s="18">
        <f>VLOOKUP('Análisis Impacto'!AB5,$D$14:$E$18,2,0)</f>
        <v>5</v>
      </c>
      <c r="AG4" s="18">
        <f>VLOOKUP('Análisis Impacto'!AC5,$D$14:$E$18,2,0)</f>
        <v>2</v>
      </c>
      <c r="AH4" s="18">
        <f>VLOOKUP('Análisis Impacto'!AD5,$D$14:$E$18,2,0)</f>
        <v>4</v>
      </c>
      <c r="AI4" s="18">
        <f>VLOOKUP('Análisis Impacto'!AE5,$D$14:$E$18,2,0)</f>
        <v>5</v>
      </c>
      <c r="AJ4" s="18">
        <f>VLOOKUP('Análisis Impacto'!AF5,$D$14:$E$18,2,0)</f>
        <v>5</v>
      </c>
      <c r="AK4" s="18">
        <f>VLOOKUP('Análisis Impacto'!AG5,$D$14:$E$18,2,0)</f>
        <v>5</v>
      </c>
      <c r="AL4" s="18">
        <f>VLOOKUP('Análisis Impacto'!AH5,$D$14:$E$18,2,0)</f>
        <v>5</v>
      </c>
      <c r="AM4" s="30">
        <f>MAX(L4,R4,X4,AD4,AJ4)</f>
        <v>5</v>
      </c>
      <c r="AN4" s="45">
        <f>AJ4</f>
        <v>5</v>
      </c>
      <c r="AO4" s="45">
        <f>X4</f>
        <v>5</v>
      </c>
      <c r="AP4" s="45">
        <f>AD4</f>
        <v>4</v>
      </c>
      <c r="AQ4" s="45">
        <f>R4</f>
        <v>3</v>
      </c>
      <c r="AR4" s="45">
        <f>L4</f>
        <v>5</v>
      </c>
      <c r="AS4" s="46" t="str">
        <f>HLOOKUP(AM4,$AN$4:$AR$7,4,0)</f>
        <v>Clientes</v>
      </c>
    </row>
    <row r="5" spans="1:77" s="20" customFormat="1" ht="43.9" customHeight="1" x14ac:dyDescent="0.2">
      <c r="A5" s="105"/>
      <c r="B5" s="49">
        <v>278</v>
      </c>
      <c r="C5" s="11" t="s">
        <v>32</v>
      </c>
      <c r="D5" s="50" t="s">
        <v>76</v>
      </c>
      <c r="E5" s="12"/>
      <c r="F5" s="51" t="s">
        <v>73</v>
      </c>
      <c r="G5" s="52">
        <v>29993</v>
      </c>
      <c r="H5" s="16" t="s">
        <v>15</v>
      </c>
      <c r="I5" s="18">
        <f>VLOOKUP('Análisis Impacto'!E6,$D$14:$E$18,2,0)</f>
        <v>2</v>
      </c>
      <c r="J5" s="18">
        <f>VLOOKUP('Análisis Impacto'!F6,$D$14:$E$18,2,0)</f>
        <v>3</v>
      </c>
      <c r="K5" s="18">
        <f>VLOOKUP('Análisis Impacto'!G6,$D$14:$E$18,2,0)</f>
        <v>4</v>
      </c>
      <c r="L5" s="18">
        <f>VLOOKUP('Análisis Impacto'!H6,$D$14:$E$18,2,0)</f>
        <v>5</v>
      </c>
      <c r="M5" s="18">
        <f>VLOOKUP('Análisis Impacto'!I6,$D$14:$E$18,2,0)</f>
        <v>5</v>
      </c>
      <c r="N5" s="18">
        <f>VLOOKUP('Análisis Impacto'!J6,$D$14:$E$18,2,0)</f>
        <v>5</v>
      </c>
      <c r="O5" s="18">
        <f>VLOOKUP('Análisis Impacto'!K6,$D$14:$E$18,2,0)</f>
        <v>1</v>
      </c>
      <c r="P5" s="18">
        <f>VLOOKUP('Análisis Impacto'!L6,$D$14:$E$18,2,0)</f>
        <v>3</v>
      </c>
      <c r="Q5" s="18">
        <f>VLOOKUP('Análisis Impacto'!M6,$D$14:$E$18,2,0)</f>
        <v>3</v>
      </c>
      <c r="R5" s="18">
        <f>VLOOKUP('Análisis Impacto'!N6,$D$14:$E$18,2,0)</f>
        <v>3</v>
      </c>
      <c r="S5" s="18">
        <f>VLOOKUP('Análisis Impacto'!O6,$D$14:$E$18,2,0)</f>
        <v>4</v>
      </c>
      <c r="T5" s="18">
        <f>VLOOKUP('Análisis Impacto'!P6,$D$14:$E$18,2,0)</f>
        <v>4</v>
      </c>
      <c r="U5" s="18">
        <f>VLOOKUP('Análisis Impacto'!Q6,$D$14:$E$18,2,0)</f>
        <v>2</v>
      </c>
      <c r="V5" s="18">
        <f>VLOOKUP('Análisis Impacto'!R6,$D$14:$E$18,2,0)</f>
        <v>3</v>
      </c>
      <c r="W5" s="18">
        <f>VLOOKUP('Análisis Impacto'!S6,$D$14:$E$18,2,0)</f>
        <v>4</v>
      </c>
      <c r="X5" s="18">
        <f>VLOOKUP('Análisis Impacto'!T6,$D$14:$E$18,2,0)</f>
        <v>5</v>
      </c>
      <c r="Y5" s="18">
        <f>VLOOKUP('Análisis Impacto'!U6,$D$14:$E$18,2,0)</f>
        <v>5</v>
      </c>
      <c r="Z5" s="18">
        <f>VLOOKUP('Análisis Impacto'!V6,$D$14:$E$18,2,0)</f>
        <v>4</v>
      </c>
      <c r="AA5" s="18">
        <f>VLOOKUP('Análisis Impacto'!W6,$D$14:$E$18,2,0)</f>
        <v>1</v>
      </c>
      <c r="AB5" s="18">
        <f>VLOOKUP('Análisis Impacto'!X6,$D$14:$E$18,2,0)</f>
        <v>2</v>
      </c>
      <c r="AC5" s="18">
        <f>VLOOKUP('Análisis Impacto'!Y6,$D$14:$E$18,2,0)</f>
        <v>3</v>
      </c>
      <c r="AD5" s="18">
        <f>VLOOKUP('Análisis Impacto'!Z6,$D$14:$E$18,2,0)</f>
        <v>4</v>
      </c>
      <c r="AE5" s="18">
        <f>VLOOKUP('Análisis Impacto'!AA6,$D$14:$E$18,2,0)</f>
        <v>5</v>
      </c>
      <c r="AF5" s="18">
        <f>VLOOKUP('Análisis Impacto'!AB6,$D$14:$E$18,2,0)</f>
        <v>5</v>
      </c>
      <c r="AG5" s="18">
        <f>VLOOKUP('Análisis Impacto'!AC6,$D$14:$E$18,2,0)</f>
        <v>2</v>
      </c>
      <c r="AH5" s="18">
        <f>VLOOKUP('Análisis Impacto'!AD6,$D$14:$E$18,2,0)</f>
        <v>4</v>
      </c>
      <c r="AI5" s="18">
        <f>VLOOKUP('Análisis Impacto'!AE6,$D$14:$E$18,2,0)</f>
        <v>5</v>
      </c>
      <c r="AJ5" s="18">
        <f>VLOOKUP('Análisis Impacto'!AF6,$D$14:$E$18,2,0)</f>
        <v>5</v>
      </c>
      <c r="AK5" s="18">
        <f>VLOOKUP('Análisis Impacto'!AG6,$D$14:$E$18,2,0)</f>
        <v>5</v>
      </c>
      <c r="AL5" s="18">
        <f>VLOOKUP('Análisis Impacto'!AH6,$D$14:$E$18,2,0)</f>
        <v>5</v>
      </c>
      <c r="AM5" s="30">
        <f>MAX(L5,R5,X5,AD5,AJ5)</f>
        <v>5</v>
      </c>
      <c r="AN5" s="45">
        <f>AJ5</f>
        <v>5</v>
      </c>
      <c r="AO5" s="45">
        <f>X5</f>
        <v>5</v>
      </c>
      <c r="AP5" s="45">
        <f>AD5</f>
        <v>4</v>
      </c>
      <c r="AQ5" s="45">
        <f>R5</f>
        <v>3</v>
      </c>
      <c r="AR5" s="45">
        <f>L5</f>
        <v>5</v>
      </c>
      <c r="AS5" s="46" t="str">
        <f>HLOOKUP(AM5,$AN$5:$AR$7,3,0)</f>
        <v>Clientes</v>
      </c>
    </row>
    <row r="6" spans="1:77" s="20" customFormat="1" ht="43.9" customHeight="1" x14ac:dyDescent="0.2">
      <c r="A6" s="105"/>
      <c r="B6" s="49">
        <v>278</v>
      </c>
      <c r="C6" s="11" t="s">
        <v>32</v>
      </c>
      <c r="D6" s="50" t="s">
        <v>76</v>
      </c>
      <c r="E6" s="12"/>
      <c r="F6" s="51" t="s">
        <v>73</v>
      </c>
      <c r="G6" s="52">
        <v>29993</v>
      </c>
      <c r="H6" s="16" t="s">
        <v>7</v>
      </c>
      <c r="I6" s="18">
        <f>VLOOKUP('Análisis Impacto'!E7,$D$14:$E$18,2,0)</f>
        <v>2</v>
      </c>
      <c r="J6" s="18">
        <f>VLOOKUP('Análisis Impacto'!F7,$D$14:$E$18,2,0)</f>
        <v>3</v>
      </c>
      <c r="K6" s="18">
        <f>VLOOKUP('Análisis Impacto'!G7,$D$14:$E$18,2,0)</f>
        <v>4</v>
      </c>
      <c r="L6" s="18">
        <f>VLOOKUP('Análisis Impacto'!H7,$D$14:$E$18,2,0)</f>
        <v>5</v>
      </c>
      <c r="M6" s="18">
        <f>VLOOKUP('Análisis Impacto'!I7,$D$14:$E$18,2,0)</f>
        <v>5</v>
      </c>
      <c r="N6" s="18">
        <f>VLOOKUP('Análisis Impacto'!J7,$D$14:$E$18,2,0)</f>
        <v>5</v>
      </c>
      <c r="O6" s="18">
        <f>VLOOKUP('Análisis Impacto'!K7,$D$14:$E$18,2,0)</f>
        <v>1</v>
      </c>
      <c r="P6" s="18">
        <f>VLOOKUP('Análisis Impacto'!L7,$D$14:$E$18,2,0)</f>
        <v>3</v>
      </c>
      <c r="Q6" s="18">
        <f>VLOOKUP('Análisis Impacto'!M7,$D$14:$E$18,2,0)</f>
        <v>3</v>
      </c>
      <c r="R6" s="18">
        <f>VLOOKUP('Análisis Impacto'!N7,$D$14:$E$18,2,0)</f>
        <v>3</v>
      </c>
      <c r="S6" s="18">
        <f>VLOOKUP('Análisis Impacto'!O7,$D$14:$E$18,2,0)</f>
        <v>4</v>
      </c>
      <c r="T6" s="18">
        <f>VLOOKUP('Análisis Impacto'!P7,$D$14:$E$18,2,0)</f>
        <v>4</v>
      </c>
      <c r="U6" s="18">
        <f>VLOOKUP('Análisis Impacto'!Q7,$D$14:$E$18,2,0)</f>
        <v>2</v>
      </c>
      <c r="V6" s="18">
        <f>VLOOKUP('Análisis Impacto'!R7,$D$14:$E$18,2,0)</f>
        <v>3</v>
      </c>
      <c r="W6" s="18">
        <f>VLOOKUP('Análisis Impacto'!S7,$D$14:$E$18,2,0)</f>
        <v>4</v>
      </c>
      <c r="X6" s="18">
        <f>VLOOKUP('Análisis Impacto'!T7,$D$14:$E$18,2,0)</f>
        <v>5</v>
      </c>
      <c r="Y6" s="18">
        <f>VLOOKUP('Análisis Impacto'!U7,$D$14:$E$18,2,0)</f>
        <v>5</v>
      </c>
      <c r="Z6" s="18">
        <f>VLOOKUP('Análisis Impacto'!V7,$D$14:$E$18,2,0)</f>
        <v>4</v>
      </c>
      <c r="AA6" s="18">
        <f>VLOOKUP('Análisis Impacto'!W7,$D$14:$E$18,2,0)</f>
        <v>1</v>
      </c>
      <c r="AB6" s="18">
        <f>VLOOKUP('Análisis Impacto'!X7,$D$14:$E$18,2,0)</f>
        <v>2</v>
      </c>
      <c r="AC6" s="18">
        <f>VLOOKUP('Análisis Impacto'!Y7,$D$14:$E$18,2,0)</f>
        <v>3</v>
      </c>
      <c r="AD6" s="18">
        <f>VLOOKUP('Análisis Impacto'!Z7,$D$14:$E$18,2,0)</f>
        <v>4</v>
      </c>
      <c r="AE6" s="18">
        <f>VLOOKUP('Análisis Impacto'!AA7,$D$14:$E$18,2,0)</f>
        <v>5</v>
      </c>
      <c r="AF6" s="18">
        <f>VLOOKUP('Análisis Impacto'!AB7,$D$14:$E$18,2,0)</f>
        <v>5</v>
      </c>
      <c r="AG6" s="18">
        <f>VLOOKUP('Análisis Impacto'!AC7,$D$14:$E$18,2,0)</f>
        <v>2</v>
      </c>
      <c r="AH6" s="18">
        <f>VLOOKUP('Análisis Impacto'!AD7,$D$14:$E$18,2,0)</f>
        <v>4</v>
      </c>
      <c r="AI6" s="18">
        <f>VLOOKUP('Análisis Impacto'!AE7,$D$14:$E$18,2,0)</f>
        <v>5</v>
      </c>
      <c r="AJ6" s="18">
        <f>VLOOKUP('Análisis Impacto'!AF7,$D$14:$E$18,2,0)</f>
        <v>5</v>
      </c>
      <c r="AK6" s="18">
        <f>VLOOKUP('Análisis Impacto'!AG7,$D$14:$E$18,2,0)</f>
        <v>5</v>
      </c>
      <c r="AL6" s="18">
        <f>VLOOKUP('Análisis Impacto'!AH7,$D$14:$E$18,2,0)</f>
        <v>5</v>
      </c>
      <c r="AM6" s="30">
        <f>MAX(L6,R6,X6,AD6,AJ6)</f>
        <v>5</v>
      </c>
      <c r="AN6" s="45">
        <f>AJ6</f>
        <v>5</v>
      </c>
      <c r="AO6" s="45">
        <f>X6</f>
        <v>5</v>
      </c>
      <c r="AP6" s="45">
        <f>AD6</f>
        <v>4</v>
      </c>
      <c r="AQ6" s="45">
        <f>R6</f>
        <v>3</v>
      </c>
      <c r="AR6" s="45">
        <f>L6</f>
        <v>5</v>
      </c>
      <c r="AS6" s="46" t="str">
        <f>HLOOKUP(AM6,$AN$6:$AR$7,2,0)</f>
        <v>Clientes</v>
      </c>
    </row>
    <row r="7" spans="1:77" ht="15" x14ac:dyDescent="0.25">
      <c r="A7" s="2"/>
      <c r="B7" s="7"/>
      <c r="C7" s="7"/>
      <c r="D7" s="7"/>
      <c r="E7" s="7"/>
      <c r="F7" s="7"/>
      <c r="G7" s="7"/>
      <c r="H7" s="7"/>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6"/>
      <c r="AN7" s="48" t="s">
        <v>17</v>
      </c>
      <c r="AO7" s="48" t="s">
        <v>0</v>
      </c>
      <c r="AP7" s="48" t="s">
        <v>16</v>
      </c>
      <c r="AQ7" s="57" t="s">
        <v>44</v>
      </c>
      <c r="AR7" s="57" t="s">
        <v>43</v>
      </c>
      <c r="AS7" s="6"/>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row>
    <row r="8" spans="1:77" x14ac:dyDescent="0.2">
      <c r="A8" s="2"/>
      <c r="B8" s="7"/>
      <c r="C8" s="7"/>
      <c r="D8" s="7"/>
      <c r="E8" s="7"/>
      <c r="F8" s="7"/>
      <c r="G8" s="7"/>
      <c r="H8" s="7"/>
      <c r="I8" s="13">
        <v>6</v>
      </c>
      <c r="J8" s="13">
        <v>5</v>
      </c>
      <c r="K8" s="13">
        <v>4</v>
      </c>
      <c r="L8" s="13">
        <v>3</v>
      </c>
      <c r="M8" s="13">
        <v>2</v>
      </c>
      <c r="N8" s="13">
        <v>1</v>
      </c>
      <c r="O8" s="13">
        <v>6</v>
      </c>
      <c r="P8" s="13">
        <v>5</v>
      </c>
      <c r="Q8" s="13">
        <v>4</v>
      </c>
      <c r="R8" s="13">
        <v>3</v>
      </c>
      <c r="S8" s="13">
        <v>2</v>
      </c>
      <c r="T8" s="13">
        <v>1</v>
      </c>
      <c r="U8" s="13">
        <v>6</v>
      </c>
      <c r="V8" s="13">
        <v>5</v>
      </c>
      <c r="W8" s="13">
        <v>4</v>
      </c>
      <c r="X8" s="13">
        <v>3</v>
      </c>
      <c r="Y8" s="13">
        <v>2</v>
      </c>
      <c r="Z8" s="13">
        <v>1</v>
      </c>
      <c r="AA8" s="13">
        <v>6</v>
      </c>
      <c r="AB8" s="13">
        <v>5</v>
      </c>
      <c r="AC8" s="13">
        <v>4</v>
      </c>
      <c r="AD8" s="13">
        <v>3</v>
      </c>
      <c r="AE8" s="13">
        <v>2</v>
      </c>
      <c r="AF8" s="13">
        <v>1</v>
      </c>
      <c r="AG8" s="13">
        <v>6</v>
      </c>
      <c r="AH8" s="13">
        <v>5</v>
      </c>
      <c r="AI8" s="13">
        <v>4</v>
      </c>
      <c r="AJ8" s="13">
        <v>3</v>
      </c>
      <c r="AK8" s="13">
        <v>2</v>
      </c>
      <c r="AL8" s="13">
        <v>1</v>
      </c>
      <c r="AM8" s="6"/>
      <c r="AN8" s="25"/>
      <c r="AO8" s="25"/>
      <c r="AP8" s="25"/>
      <c r="AQ8" s="25"/>
      <c r="AR8" s="25"/>
      <c r="AS8" s="6"/>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row>
    <row r="9" spans="1:77" x14ac:dyDescent="0.2">
      <c r="A9" s="2"/>
      <c r="B9" s="7"/>
      <c r="C9" s="7"/>
      <c r="D9" s="7"/>
      <c r="E9" s="7"/>
      <c r="F9" s="7"/>
      <c r="G9" s="7"/>
      <c r="H9" s="7"/>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6"/>
      <c r="AN9" s="6"/>
      <c r="AO9" s="6"/>
      <c r="AP9" s="6"/>
      <c r="AQ9" s="6"/>
      <c r="AR9" s="6"/>
      <c r="AS9" s="6"/>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row>
    <row r="10" spans="1:77" x14ac:dyDescent="0.2">
      <c r="A10" s="2"/>
      <c r="B10" s="7"/>
      <c r="C10" s="7"/>
      <c r="D10" s="7"/>
      <c r="E10" s="7"/>
      <c r="F10" s="7"/>
      <c r="G10" s="7"/>
      <c r="H10" s="7"/>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6"/>
      <c r="AN10" s="6"/>
      <c r="AO10" s="6"/>
      <c r="AP10" s="6"/>
      <c r="AQ10" s="6"/>
      <c r="AR10" s="6"/>
      <c r="AS10" s="6"/>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row>
    <row r="11" spans="1:77" x14ac:dyDescent="0.2">
      <c r="A11" s="2"/>
      <c r="B11" s="7"/>
      <c r="C11" s="7"/>
      <c r="D11" s="7"/>
      <c r="E11" s="7"/>
      <c r="F11" s="7"/>
      <c r="G11" s="7"/>
      <c r="H11" s="7"/>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6"/>
      <c r="AN11" s="7" t="s">
        <v>17</v>
      </c>
      <c r="AO11" s="25">
        <v>0.3</v>
      </c>
      <c r="AP11" s="6"/>
      <c r="AQ11" s="6"/>
      <c r="AR11" s="6"/>
      <c r="AS11" s="6"/>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row>
    <row r="12" spans="1:77" x14ac:dyDescent="0.2">
      <c r="A12" s="2"/>
      <c r="D12" s="24" t="s">
        <v>33</v>
      </c>
      <c r="E12" s="7"/>
      <c r="F12" s="7"/>
      <c r="G12" s="7"/>
      <c r="H12" s="7"/>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6"/>
      <c r="AN12" s="7" t="s">
        <v>44</v>
      </c>
      <c r="AO12" s="26">
        <v>0.3</v>
      </c>
      <c r="AP12" s="6"/>
      <c r="AQ12" s="6"/>
      <c r="AR12" s="6"/>
      <c r="AS12" s="6"/>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row>
    <row r="13" spans="1:77" x14ac:dyDescent="0.2">
      <c r="A13" s="2"/>
      <c r="B13" s="7"/>
      <c r="C13" s="7"/>
      <c r="D13" s="7"/>
      <c r="E13" s="7"/>
      <c r="F13" s="7"/>
      <c r="G13" s="24" t="s">
        <v>60</v>
      </c>
      <c r="H13" s="24" t="s">
        <v>75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6"/>
      <c r="AN13" s="7" t="s">
        <v>4</v>
      </c>
      <c r="AO13" s="25">
        <v>0.2</v>
      </c>
      <c r="AP13" s="6"/>
      <c r="AR13" s="6"/>
      <c r="AS13" s="6"/>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row>
    <row r="14" spans="1:77" x14ac:dyDescent="0.2">
      <c r="A14" s="2"/>
      <c r="B14" s="29">
        <v>1</v>
      </c>
      <c r="C14" s="29" t="s">
        <v>55</v>
      </c>
      <c r="D14" s="7" t="s">
        <v>55</v>
      </c>
      <c r="E14" s="7">
        <v>1</v>
      </c>
      <c r="F14" s="7"/>
      <c r="G14" s="7" t="s">
        <v>17</v>
      </c>
      <c r="H14" s="7" t="s">
        <v>17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6"/>
      <c r="AN14" s="7" t="s">
        <v>16</v>
      </c>
      <c r="AO14" s="25">
        <v>0.1</v>
      </c>
      <c r="AP14" s="6"/>
      <c r="AR14" s="6"/>
      <c r="AS14" s="6"/>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row>
    <row r="15" spans="1:77" x14ac:dyDescent="0.2">
      <c r="A15" s="2"/>
      <c r="B15" s="29">
        <v>2</v>
      </c>
      <c r="C15" s="29" t="s">
        <v>56</v>
      </c>
      <c r="D15" s="7" t="s">
        <v>56</v>
      </c>
      <c r="E15" s="7">
        <v>2</v>
      </c>
      <c r="F15" s="7"/>
      <c r="G15" s="7" t="s">
        <v>16</v>
      </c>
      <c r="H15" s="7" t="s">
        <v>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6"/>
      <c r="AN15" s="7" t="s">
        <v>43</v>
      </c>
      <c r="AO15" s="26">
        <v>0.1</v>
      </c>
      <c r="AP15" s="6"/>
      <c r="AR15" s="6"/>
      <c r="AS15" s="6"/>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row>
    <row r="16" spans="1:77" x14ac:dyDescent="0.2">
      <c r="A16" s="2"/>
      <c r="B16" s="29">
        <v>3</v>
      </c>
      <c r="C16" s="29" t="s">
        <v>2</v>
      </c>
      <c r="D16" s="7" t="s">
        <v>2</v>
      </c>
      <c r="E16" s="7">
        <v>3</v>
      </c>
      <c r="F16" s="7"/>
      <c r="G16" s="7" t="s">
        <v>43</v>
      </c>
      <c r="H16" s="7" t="s">
        <v>16</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6"/>
      <c r="AN16" s="6"/>
      <c r="AO16" s="6"/>
      <c r="AP16" s="6"/>
      <c r="AR16" s="6"/>
      <c r="AS16" s="6"/>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row>
    <row r="17" spans="1:77" x14ac:dyDescent="0.2">
      <c r="A17" s="2"/>
      <c r="B17" s="29">
        <v>4</v>
      </c>
      <c r="C17" s="29" t="s">
        <v>57</v>
      </c>
      <c r="D17" s="7" t="s">
        <v>57</v>
      </c>
      <c r="E17" s="7">
        <v>4</v>
      </c>
      <c r="F17" s="7"/>
      <c r="G17" s="7" t="s">
        <v>0</v>
      </c>
      <c r="H17" s="7" t="s">
        <v>44</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6"/>
      <c r="AN17" s="6"/>
      <c r="AO17" s="6"/>
      <c r="AP17" s="6"/>
      <c r="AR17" s="6"/>
      <c r="AS17" s="6"/>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row>
    <row r="18" spans="1:77" x14ac:dyDescent="0.2">
      <c r="A18" s="2"/>
      <c r="B18" s="29">
        <v>5</v>
      </c>
      <c r="C18" s="29" t="s">
        <v>1</v>
      </c>
      <c r="D18" s="7" t="s">
        <v>1</v>
      </c>
      <c r="E18" s="7">
        <v>5</v>
      </c>
      <c r="F18" s="7"/>
      <c r="G18" s="7" t="s">
        <v>44</v>
      </c>
      <c r="H18" s="7" t="s">
        <v>43</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6"/>
      <c r="AN18" s="6"/>
      <c r="AO18" s="6"/>
      <c r="AP18" s="6"/>
      <c r="AR18" s="6"/>
      <c r="AS18" s="6"/>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row>
    <row r="19" spans="1:77" x14ac:dyDescent="0.2">
      <c r="A19" s="2"/>
      <c r="B19" s="7"/>
      <c r="C19" s="7"/>
      <c r="D19" s="7"/>
      <c r="E19" s="7"/>
      <c r="F19" s="7"/>
      <c r="G19" s="7"/>
      <c r="H19" s="7"/>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6"/>
      <c r="AN19" s="6"/>
      <c r="AO19" s="6"/>
      <c r="AP19" s="6"/>
      <c r="AQ19" s="6"/>
      <c r="AR19" s="6"/>
      <c r="AS19" s="6"/>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row>
    <row r="20" spans="1:77" x14ac:dyDescent="0.2">
      <c r="A20" s="2"/>
      <c r="B20" s="7"/>
      <c r="C20" s="7"/>
      <c r="D20" s="7"/>
      <c r="E20" s="7"/>
      <c r="F20" s="7"/>
      <c r="G20" s="7"/>
      <c r="H20" s="7"/>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6"/>
      <c r="AN20" s="6"/>
      <c r="AO20" s="6"/>
      <c r="AP20" s="6"/>
      <c r="AQ20" s="6"/>
      <c r="AR20" s="6"/>
      <c r="AS20" s="6"/>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row>
    <row r="21" spans="1:77" x14ac:dyDescent="0.2">
      <c r="A21" s="7"/>
      <c r="B21" s="7"/>
      <c r="C21" s="7"/>
      <c r="D21" s="7"/>
      <c r="E21" s="7"/>
      <c r="F21" s="7"/>
      <c r="G21" s="7"/>
      <c r="H21" s="7"/>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6"/>
      <c r="AN21" s="6"/>
      <c r="AO21" s="6"/>
      <c r="AP21" s="6"/>
      <c r="AQ21" s="6"/>
      <c r="AR21" s="6"/>
      <c r="AS21" s="6"/>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row>
    <row r="22" spans="1:77" x14ac:dyDescent="0.2">
      <c r="A22" s="7"/>
      <c r="B22" s="7"/>
      <c r="C22" s="7"/>
      <c r="D22" s="7"/>
      <c r="E22" s="7"/>
      <c r="F22" s="7"/>
      <c r="G22" s="7"/>
      <c r="H22" s="7"/>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6"/>
      <c r="AN22" s="6"/>
      <c r="AO22" s="6"/>
      <c r="AP22" s="6"/>
      <c r="AQ22" s="6"/>
      <c r="AR22" s="6"/>
      <c r="AS22" s="6"/>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row>
    <row r="23" spans="1:77" x14ac:dyDescent="0.2">
      <c r="A23" s="7"/>
      <c r="B23" s="7"/>
      <c r="C23" s="7"/>
      <c r="D23" s="7"/>
      <c r="E23" s="7"/>
      <c r="F23" s="7"/>
      <c r="G23" s="7"/>
      <c r="H23" s="7"/>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6"/>
      <c r="AN23" s="6"/>
      <c r="AO23" s="6"/>
      <c r="AP23" s="6"/>
      <c r="AQ23" s="6"/>
      <c r="AR23" s="6"/>
      <c r="AS23" s="6"/>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row>
    <row r="24" spans="1:77" x14ac:dyDescent="0.2">
      <c r="A24" s="7"/>
      <c r="B24" s="7"/>
      <c r="C24" s="7"/>
      <c r="D24" s="7"/>
      <c r="E24" s="7"/>
      <c r="F24" s="7"/>
      <c r="G24" s="7"/>
      <c r="H24" s="7"/>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6"/>
      <c r="AN24" s="6"/>
      <c r="AO24" s="6"/>
      <c r="AP24" s="6"/>
      <c r="AQ24" s="6"/>
      <c r="AR24" s="6"/>
      <c r="AS24" s="6"/>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row>
    <row r="25" spans="1:77" x14ac:dyDescent="0.2">
      <c r="A25" s="7"/>
      <c r="B25" s="7"/>
      <c r="C25" s="7"/>
      <c r="D25" s="7"/>
      <c r="E25" s="7"/>
      <c r="F25" s="7"/>
      <c r="G25" s="7"/>
      <c r="H25" s="7"/>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6"/>
      <c r="AN25" s="6"/>
      <c r="AO25" s="6"/>
      <c r="AP25" s="6"/>
      <c r="AQ25" s="6"/>
      <c r="AR25" s="6"/>
      <c r="AS25" s="6"/>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row>
    <row r="26" spans="1:77" x14ac:dyDescent="0.2">
      <c r="A26" s="7"/>
      <c r="B26" s="7"/>
      <c r="C26" s="7"/>
      <c r="D26" s="7"/>
      <c r="E26" s="7"/>
      <c r="F26" s="7"/>
      <c r="G26" s="7"/>
      <c r="H26" s="7"/>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6"/>
      <c r="AN26" s="6"/>
      <c r="AO26" s="6"/>
      <c r="AP26" s="6"/>
      <c r="AQ26" s="6"/>
      <c r="AR26" s="6"/>
      <c r="AS26" s="6"/>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row>
    <row r="27" spans="1:77" x14ac:dyDescent="0.2">
      <c r="A27" s="7"/>
      <c r="B27" s="7"/>
      <c r="C27" s="7"/>
      <c r="D27" s="7"/>
      <c r="E27" s="7"/>
      <c r="F27" s="7"/>
      <c r="G27" s="7"/>
      <c r="H27" s="7"/>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6"/>
      <c r="AN27" s="6"/>
      <c r="AO27" s="6"/>
      <c r="AP27" s="6"/>
      <c r="AQ27" s="6"/>
      <c r="AR27" s="6"/>
      <c r="AS27" s="6"/>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row>
    <row r="28" spans="1:77" x14ac:dyDescent="0.2">
      <c r="A28" s="7"/>
      <c r="B28" s="7"/>
      <c r="C28" s="7"/>
      <c r="D28" s="7"/>
      <c r="E28" s="7"/>
      <c r="F28" s="7"/>
      <c r="G28" s="7"/>
      <c r="H28" s="7"/>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6"/>
      <c r="AN28" s="6"/>
      <c r="AO28" s="6"/>
      <c r="AP28" s="6"/>
      <c r="AQ28" s="6"/>
      <c r="AR28" s="6"/>
      <c r="AS28" s="6"/>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row>
    <row r="29" spans="1:77" x14ac:dyDescent="0.2">
      <c r="A29" s="7"/>
      <c r="B29" s="7"/>
      <c r="C29" s="7"/>
      <c r="D29" s="7"/>
      <c r="E29" s="7"/>
      <c r="F29" s="7"/>
      <c r="G29" s="7"/>
      <c r="H29" s="7"/>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6"/>
      <c r="AN29" s="6"/>
      <c r="AO29" s="6"/>
      <c r="AP29" s="6"/>
      <c r="AQ29" s="6"/>
      <c r="AR29" s="6"/>
      <c r="AS29" s="6"/>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row>
    <row r="30" spans="1:77" x14ac:dyDescent="0.2">
      <c r="A30" s="7"/>
      <c r="B30" s="7"/>
      <c r="C30" s="7"/>
      <c r="D30" s="7"/>
      <c r="E30" s="7"/>
      <c r="F30" s="7"/>
      <c r="G30" s="7"/>
      <c r="H30" s="7"/>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6"/>
      <c r="AN30" s="6"/>
      <c r="AO30" s="6"/>
      <c r="AP30" s="6"/>
      <c r="AQ30" s="6"/>
      <c r="AR30" s="6"/>
      <c r="AS30" s="6"/>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row>
    <row r="31" spans="1:77" x14ac:dyDescent="0.2">
      <c r="A31" s="7"/>
      <c r="B31" s="7"/>
      <c r="C31" s="7"/>
      <c r="D31" s="7"/>
      <c r="E31" s="7"/>
      <c r="F31" s="7"/>
      <c r="G31" s="7"/>
      <c r="H31" s="7"/>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6"/>
      <c r="AN31" s="6"/>
      <c r="AO31" s="6"/>
      <c r="AP31" s="6"/>
      <c r="AQ31" s="6"/>
      <c r="AR31" s="6"/>
      <c r="AS31" s="6"/>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row>
    <row r="32" spans="1:77" x14ac:dyDescent="0.2">
      <c r="A32" s="7"/>
      <c r="B32" s="7"/>
      <c r="C32" s="7"/>
      <c r="D32" s="7"/>
      <c r="E32" s="7"/>
      <c r="F32" s="7"/>
      <c r="G32" s="7"/>
      <c r="H32" s="7"/>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6"/>
      <c r="AN32" s="6"/>
      <c r="AO32" s="6"/>
      <c r="AP32" s="6"/>
      <c r="AQ32" s="6"/>
      <c r="AR32" s="6"/>
      <c r="AS32" s="6"/>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row>
    <row r="33" spans="1:77" x14ac:dyDescent="0.2">
      <c r="A33" s="7"/>
      <c r="B33" s="7"/>
      <c r="C33" s="7"/>
      <c r="D33" s="7"/>
      <c r="E33" s="7"/>
      <c r="F33" s="7"/>
      <c r="G33" s="7"/>
      <c r="H33" s="7"/>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6"/>
      <c r="AN33" s="6"/>
      <c r="AO33" s="6"/>
      <c r="AP33" s="6"/>
      <c r="AQ33" s="6"/>
      <c r="AR33" s="6"/>
      <c r="AS33" s="6"/>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row>
    <row r="34" spans="1:77" x14ac:dyDescent="0.2">
      <c r="A34" s="7"/>
      <c r="B34" s="7"/>
      <c r="C34" s="7"/>
      <c r="D34" s="7"/>
      <c r="E34" s="7"/>
      <c r="F34" s="7"/>
      <c r="G34" s="7"/>
      <c r="H34" s="7"/>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6"/>
      <c r="AN34" s="6"/>
      <c r="AO34" s="6"/>
      <c r="AP34" s="6"/>
      <c r="AQ34" s="6"/>
      <c r="AR34" s="6"/>
      <c r="AS34" s="6"/>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row>
    <row r="35" spans="1:77" x14ac:dyDescent="0.2">
      <c r="A35" s="7"/>
      <c r="B35" s="7"/>
      <c r="C35" s="7"/>
      <c r="D35" s="7"/>
      <c r="E35" s="7"/>
      <c r="F35" s="7"/>
      <c r="G35" s="7"/>
      <c r="H35" s="7"/>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6"/>
      <c r="AN35" s="6"/>
      <c r="AO35" s="6"/>
      <c r="AP35" s="6"/>
      <c r="AQ35" s="6"/>
      <c r="AR35" s="6"/>
      <c r="AS35" s="6"/>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row>
    <row r="36" spans="1:77" x14ac:dyDescent="0.2">
      <c r="A36" s="7"/>
      <c r="B36" s="7"/>
      <c r="C36" s="7"/>
      <c r="D36" s="7"/>
      <c r="E36" s="7"/>
      <c r="F36" s="7"/>
      <c r="G36" s="7"/>
      <c r="H36" s="7"/>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6"/>
      <c r="AN36" s="6"/>
      <c r="AO36" s="6"/>
      <c r="AP36" s="6"/>
      <c r="AQ36" s="6"/>
      <c r="AR36" s="6"/>
      <c r="AS36" s="6"/>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row>
    <row r="37" spans="1:77" x14ac:dyDescent="0.2">
      <c r="A37" s="7"/>
      <c r="B37" s="7"/>
      <c r="C37" s="7"/>
      <c r="D37" s="7"/>
      <c r="E37" s="7"/>
      <c r="F37" s="7"/>
      <c r="G37" s="7"/>
      <c r="H37" s="7"/>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6"/>
      <c r="AN37" s="6"/>
      <c r="AO37" s="6"/>
      <c r="AP37" s="6"/>
      <c r="AQ37" s="6"/>
      <c r="AR37" s="6"/>
      <c r="AS37" s="6"/>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row>
    <row r="38" spans="1:77" x14ac:dyDescent="0.2">
      <c r="A38" s="7"/>
      <c r="B38" s="7"/>
      <c r="C38" s="7"/>
      <c r="D38" s="7"/>
      <c r="E38" s="7"/>
      <c r="F38" s="7"/>
      <c r="G38" s="7"/>
      <c r="H38" s="7"/>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6"/>
      <c r="AN38" s="6"/>
      <c r="AO38" s="6"/>
      <c r="AP38" s="6"/>
      <c r="AQ38" s="6"/>
      <c r="AR38" s="6"/>
      <c r="AS38" s="6"/>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row>
    <row r="39" spans="1:77" x14ac:dyDescent="0.2">
      <c r="A39" s="7"/>
      <c r="B39" s="7"/>
      <c r="C39" s="7"/>
      <c r="D39" s="7"/>
      <c r="E39" s="7"/>
      <c r="F39" s="7"/>
      <c r="G39" s="7"/>
      <c r="H39" s="7"/>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6"/>
      <c r="AN39" s="6"/>
      <c r="AO39" s="6"/>
      <c r="AP39" s="6"/>
      <c r="AQ39" s="6"/>
      <c r="AR39" s="6"/>
      <c r="AS39" s="6"/>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row>
    <row r="40" spans="1:77" x14ac:dyDescent="0.2">
      <c r="A40" s="7"/>
      <c r="B40" s="7"/>
      <c r="C40" s="7"/>
      <c r="D40" s="7"/>
      <c r="E40" s="7"/>
      <c r="F40" s="7"/>
      <c r="G40" s="7"/>
      <c r="H40" s="7"/>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6"/>
      <c r="AN40" s="6"/>
      <c r="AO40" s="6"/>
      <c r="AP40" s="6"/>
      <c r="AQ40" s="6"/>
      <c r="AR40" s="6"/>
      <c r="AS40" s="6"/>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row>
    <row r="41" spans="1:77" x14ac:dyDescent="0.2">
      <c r="A41" s="7"/>
      <c r="B41" s="7"/>
      <c r="C41" s="7"/>
      <c r="D41" s="7"/>
      <c r="E41" s="7"/>
      <c r="F41" s="7"/>
      <c r="G41" s="7"/>
      <c r="H41" s="7"/>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6"/>
      <c r="AN41" s="6"/>
      <c r="AO41" s="6"/>
      <c r="AP41" s="6"/>
      <c r="AQ41" s="6"/>
      <c r="AR41" s="6"/>
      <c r="AS41" s="6"/>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row>
    <row r="42" spans="1:77" x14ac:dyDescent="0.2">
      <c r="A42" s="7"/>
      <c r="B42" s="7"/>
      <c r="C42" s="7"/>
      <c r="D42" s="7"/>
      <c r="E42" s="7"/>
      <c r="F42" s="7"/>
      <c r="G42" s="7"/>
      <c r="H42" s="7"/>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6"/>
      <c r="AN42" s="6"/>
      <c r="AO42" s="6"/>
      <c r="AP42" s="6"/>
      <c r="AQ42" s="6"/>
      <c r="AR42" s="6"/>
      <c r="AS42" s="6"/>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row>
    <row r="43" spans="1:77" x14ac:dyDescent="0.2">
      <c r="A43" s="7"/>
      <c r="B43" s="7"/>
      <c r="C43" s="7"/>
      <c r="D43" s="7"/>
      <c r="E43" s="7"/>
      <c r="F43" s="7"/>
      <c r="G43" s="7"/>
      <c r="H43" s="7"/>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6"/>
      <c r="AN43" s="6"/>
      <c r="AO43" s="6"/>
      <c r="AP43" s="6"/>
      <c r="AQ43" s="6"/>
      <c r="AR43" s="6"/>
      <c r="AS43" s="6"/>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row>
    <row r="44" spans="1:77" x14ac:dyDescent="0.2">
      <c r="A44" s="7"/>
      <c r="B44" s="7"/>
      <c r="C44" s="7"/>
      <c r="D44" s="7"/>
      <c r="E44" s="7"/>
      <c r="F44" s="7"/>
      <c r="G44" s="7"/>
      <c r="H44" s="7"/>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6"/>
      <c r="AN44" s="6"/>
      <c r="AO44" s="6"/>
      <c r="AP44" s="6"/>
      <c r="AQ44" s="6"/>
      <c r="AR44" s="6"/>
      <c r="AS44" s="6"/>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row>
    <row r="45" spans="1:77" x14ac:dyDescent="0.2">
      <c r="A45" s="7"/>
      <c r="B45" s="7"/>
      <c r="C45" s="7"/>
      <c r="D45" s="7"/>
      <c r="E45" s="7"/>
      <c r="F45" s="7"/>
      <c r="G45" s="7"/>
      <c r="H45" s="7"/>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6"/>
      <c r="AN45" s="6"/>
      <c r="AO45" s="6"/>
      <c r="AP45" s="6"/>
      <c r="AQ45" s="6"/>
      <c r="AR45" s="6"/>
      <c r="AS45" s="6"/>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row>
    <row r="46" spans="1:77" x14ac:dyDescent="0.2">
      <c r="A46" s="7"/>
      <c r="B46" s="7"/>
      <c r="C46" s="7"/>
      <c r="D46" s="7"/>
      <c r="E46" s="7"/>
      <c r="F46" s="7"/>
      <c r="G46" s="7"/>
      <c r="H46" s="7"/>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6"/>
      <c r="AN46" s="6"/>
      <c r="AO46" s="6"/>
      <c r="AP46" s="6"/>
      <c r="AQ46" s="6"/>
      <c r="AR46" s="6"/>
      <c r="AS46" s="6"/>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row>
    <row r="47" spans="1:77" x14ac:dyDescent="0.2">
      <c r="A47" s="7"/>
      <c r="B47" s="7"/>
      <c r="C47" s="7"/>
      <c r="D47" s="7"/>
      <c r="E47" s="7"/>
      <c r="F47" s="7"/>
      <c r="G47" s="7"/>
      <c r="H47" s="7"/>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6"/>
      <c r="AN47" s="6"/>
      <c r="AO47" s="6"/>
      <c r="AP47" s="6"/>
      <c r="AQ47" s="6"/>
      <c r="AR47" s="6"/>
      <c r="AS47" s="6"/>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row>
    <row r="48" spans="1:77" x14ac:dyDescent="0.2">
      <c r="A48" s="7"/>
      <c r="B48" s="7"/>
      <c r="C48" s="7"/>
      <c r="D48" s="7"/>
      <c r="E48" s="7"/>
      <c r="F48" s="7"/>
      <c r="G48" s="7"/>
      <c r="H48" s="7"/>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6"/>
      <c r="AN48" s="6"/>
      <c r="AO48" s="6"/>
      <c r="AP48" s="6"/>
      <c r="AQ48" s="6"/>
      <c r="AR48" s="6"/>
      <c r="AS48" s="6"/>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row>
    <row r="49" spans="1:77" x14ac:dyDescent="0.2">
      <c r="A49" s="7"/>
      <c r="B49" s="7"/>
      <c r="C49" s="7"/>
      <c r="D49" s="7"/>
      <c r="E49" s="7"/>
      <c r="F49" s="7"/>
      <c r="G49" s="7"/>
      <c r="H49" s="7"/>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6"/>
      <c r="AN49" s="6"/>
      <c r="AO49" s="6"/>
      <c r="AP49" s="6"/>
      <c r="AQ49" s="6"/>
      <c r="AR49" s="6"/>
      <c r="AS49" s="6"/>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row>
    <row r="50" spans="1:77" x14ac:dyDescent="0.2">
      <c r="A50" s="7"/>
      <c r="B50" s="7"/>
      <c r="C50" s="7"/>
      <c r="D50" s="7"/>
      <c r="E50" s="7"/>
      <c r="F50" s="7"/>
      <c r="G50" s="7"/>
      <c r="H50" s="7"/>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6"/>
      <c r="AN50" s="6"/>
      <c r="AO50" s="6"/>
      <c r="AP50" s="6"/>
      <c r="AQ50" s="6"/>
      <c r="AR50" s="6"/>
      <c r="AS50" s="6"/>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row>
    <row r="51" spans="1:77" x14ac:dyDescent="0.2">
      <c r="A51" s="7"/>
      <c r="B51" s="7"/>
      <c r="C51" s="7"/>
      <c r="D51" s="7"/>
      <c r="E51" s="7"/>
      <c r="F51" s="7"/>
      <c r="G51" s="7"/>
      <c r="H51" s="7"/>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6"/>
      <c r="AN51" s="6"/>
      <c r="AO51" s="6"/>
      <c r="AP51" s="6"/>
      <c r="AQ51" s="6"/>
      <c r="AR51" s="6"/>
      <c r="AS51" s="6"/>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row>
    <row r="52" spans="1:77" x14ac:dyDescent="0.2">
      <c r="A52" s="7"/>
      <c r="B52" s="7"/>
      <c r="C52" s="7"/>
      <c r="D52" s="7"/>
      <c r="E52" s="7"/>
      <c r="F52" s="7"/>
      <c r="G52" s="7"/>
      <c r="H52" s="7"/>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6"/>
      <c r="AN52" s="6"/>
      <c r="AO52" s="6"/>
      <c r="AP52" s="6"/>
      <c r="AQ52" s="6"/>
      <c r="AR52" s="6"/>
      <c r="AS52" s="6"/>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row>
    <row r="53" spans="1:77" x14ac:dyDescent="0.2">
      <c r="A53" s="7"/>
      <c r="B53" s="7"/>
      <c r="C53" s="7"/>
      <c r="D53" s="7"/>
      <c r="E53" s="7"/>
      <c r="F53" s="7"/>
      <c r="G53" s="7"/>
      <c r="H53" s="7"/>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6"/>
      <c r="AN53" s="6"/>
      <c r="AO53" s="6"/>
      <c r="AP53" s="6"/>
      <c r="AQ53" s="6"/>
      <c r="AR53" s="6"/>
      <c r="AS53" s="6"/>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row>
    <row r="54" spans="1:77" x14ac:dyDescent="0.2">
      <c r="A54" s="7"/>
      <c r="B54" s="7"/>
      <c r="C54" s="7"/>
      <c r="D54" s="7"/>
      <c r="E54" s="7"/>
      <c r="F54" s="7"/>
      <c r="G54" s="7"/>
      <c r="H54" s="7"/>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6"/>
      <c r="AN54" s="6"/>
      <c r="AO54" s="6"/>
      <c r="AP54" s="6"/>
      <c r="AQ54" s="6"/>
      <c r="AR54" s="6"/>
      <c r="AS54" s="6"/>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row>
    <row r="55" spans="1:77" x14ac:dyDescent="0.2">
      <c r="A55" s="7"/>
      <c r="B55" s="7"/>
      <c r="C55" s="7"/>
      <c r="D55" s="7"/>
      <c r="E55" s="7"/>
      <c r="F55" s="7"/>
      <c r="G55" s="7"/>
      <c r="H55" s="7"/>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6"/>
      <c r="AN55" s="6"/>
      <c r="AO55" s="6"/>
      <c r="AP55" s="6"/>
      <c r="AQ55" s="6"/>
      <c r="AR55" s="6"/>
      <c r="AS55" s="6"/>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row>
    <row r="56" spans="1:77" x14ac:dyDescent="0.2">
      <c r="A56" s="7"/>
      <c r="B56" s="7"/>
      <c r="C56" s="7"/>
      <c r="D56" s="7"/>
      <c r="E56" s="7"/>
      <c r="F56" s="7"/>
      <c r="G56" s="7"/>
      <c r="H56" s="7"/>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6"/>
      <c r="AN56" s="6"/>
      <c r="AO56" s="6"/>
      <c r="AP56" s="6"/>
      <c r="AQ56" s="6"/>
      <c r="AR56" s="6"/>
      <c r="AS56" s="6"/>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row>
    <row r="57" spans="1:77" x14ac:dyDescent="0.2">
      <c r="A57" s="7"/>
      <c r="B57" s="7"/>
      <c r="C57" s="7"/>
      <c r="D57" s="7"/>
      <c r="E57" s="7"/>
      <c r="F57" s="7"/>
      <c r="G57" s="7"/>
      <c r="H57" s="7"/>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6"/>
      <c r="AN57" s="6"/>
      <c r="AO57" s="6"/>
      <c r="AP57" s="6"/>
      <c r="AQ57" s="6"/>
      <c r="AR57" s="6"/>
      <c r="AS57" s="6"/>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row>
    <row r="58" spans="1:77" x14ac:dyDescent="0.2">
      <c r="A58" s="7"/>
      <c r="B58" s="7"/>
      <c r="C58" s="7"/>
      <c r="D58" s="7"/>
      <c r="E58" s="7"/>
      <c r="F58" s="7"/>
      <c r="G58" s="7"/>
      <c r="H58" s="7"/>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6"/>
      <c r="AN58" s="6"/>
      <c r="AO58" s="6"/>
      <c r="AP58" s="6"/>
      <c r="AQ58" s="6"/>
      <c r="AR58" s="6"/>
      <c r="AS58" s="6"/>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row>
    <row r="59" spans="1:77" x14ac:dyDescent="0.2">
      <c r="A59" s="7"/>
      <c r="B59" s="7"/>
      <c r="C59" s="7"/>
      <c r="D59" s="7"/>
      <c r="E59" s="7"/>
      <c r="F59" s="7"/>
      <c r="G59" s="7"/>
      <c r="H59" s="7"/>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6"/>
      <c r="AN59" s="6"/>
      <c r="AO59" s="6"/>
      <c r="AP59" s="6"/>
      <c r="AQ59" s="6"/>
      <c r="AR59" s="6"/>
      <c r="AS59" s="6"/>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row>
    <row r="60" spans="1:77" x14ac:dyDescent="0.2">
      <c r="A60" s="7"/>
      <c r="B60" s="7"/>
      <c r="C60" s="7"/>
      <c r="D60" s="7"/>
      <c r="E60" s="7"/>
      <c r="F60" s="7"/>
      <c r="G60" s="7"/>
      <c r="H60" s="7"/>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6"/>
      <c r="AN60" s="6"/>
      <c r="AO60" s="6"/>
      <c r="AP60" s="6"/>
      <c r="AQ60" s="6"/>
      <c r="AR60" s="6"/>
      <c r="AS60" s="6"/>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row>
    <row r="61" spans="1:77" x14ac:dyDescent="0.2">
      <c r="A61" s="7"/>
      <c r="B61" s="7"/>
      <c r="C61" s="7"/>
      <c r="D61" s="7"/>
      <c r="E61" s="7"/>
      <c r="F61" s="7"/>
      <c r="G61" s="7"/>
      <c r="H61" s="7"/>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6"/>
      <c r="AN61" s="6"/>
      <c r="AO61" s="6"/>
      <c r="AP61" s="6"/>
      <c r="AQ61" s="6"/>
      <c r="AR61" s="6"/>
      <c r="AS61" s="6"/>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row>
    <row r="62" spans="1:77" x14ac:dyDescent="0.2">
      <c r="A62" s="7"/>
      <c r="B62" s="7"/>
      <c r="C62" s="7"/>
      <c r="D62" s="7"/>
      <c r="E62" s="7"/>
      <c r="F62" s="7"/>
      <c r="G62" s="7"/>
      <c r="H62" s="7"/>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6"/>
      <c r="AN62" s="6"/>
      <c r="AO62" s="6"/>
      <c r="AP62" s="6"/>
      <c r="AQ62" s="6"/>
      <c r="AR62" s="6"/>
      <c r="AS62" s="6"/>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row>
    <row r="63" spans="1:77" x14ac:dyDescent="0.2">
      <c r="A63" s="7"/>
      <c r="B63" s="7"/>
      <c r="C63" s="7"/>
      <c r="D63" s="7"/>
      <c r="E63" s="7"/>
      <c r="F63" s="7"/>
      <c r="G63" s="7"/>
      <c r="H63" s="7"/>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6"/>
      <c r="AN63" s="6"/>
      <c r="AO63" s="6"/>
      <c r="AP63" s="6"/>
      <c r="AQ63" s="6"/>
      <c r="AR63" s="6"/>
      <c r="AS63" s="6"/>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row>
    <row r="64" spans="1:77" x14ac:dyDescent="0.2">
      <c r="A64" s="7"/>
      <c r="B64" s="7"/>
      <c r="C64" s="7"/>
      <c r="D64" s="7"/>
      <c r="E64" s="7"/>
      <c r="F64" s="7"/>
      <c r="G64" s="7"/>
      <c r="H64" s="7"/>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6"/>
      <c r="AN64" s="6"/>
      <c r="AO64" s="6"/>
      <c r="AP64" s="6"/>
      <c r="AQ64" s="6"/>
      <c r="AR64" s="6"/>
      <c r="AS64" s="6"/>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row>
    <row r="65" spans="1:77" x14ac:dyDescent="0.2">
      <c r="A65" s="7"/>
      <c r="B65" s="7"/>
      <c r="C65" s="7"/>
      <c r="D65" s="7"/>
      <c r="E65" s="7"/>
      <c r="F65" s="7"/>
      <c r="G65" s="7"/>
      <c r="H65" s="7"/>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6"/>
      <c r="AN65" s="6"/>
      <c r="AO65" s="6"/>
      <c r="AP65" s="6"/>
      <c r="AQ65" s="6"/>
      <c r="AR65" s="6"/>
      <c r="AS65" s="6"/>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row>
    <row r="66" spans="1:77" x14ac:dyDescent="0.2">
      <c r="A66" s="7"/>
      <c r="B66" s="7"/>
      <c r="C66" s="7"/>
      <c r="D66" s="7"/>
      <c r="E66" s="7"/>
      <c r="F66" s="7"/>
      <c r="G66" s="7"/>
      <c r="H66" s="7"/>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6"/>
      <c r="AN66" s="6"/>
      <c r="AO66" s="6"/>
      <c r="AP66" s="6"/>
      <c r="AQ66" s="6"/>
      <c r="AR66" s="6"/>
      <c r="AS66" s="6"/>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row>
    <row r="67" spans="1:77" x14ac:dyDescent="0.2">
      <c r="A67" s="7"/>
      <c r="B67" s="7"/>
      <c r="C67" s="7"/>
      <c r="D67" s="7"/>
      <c r="E67" s="7"/>
      <c r="F67" s="7"/>
      <c r="G67" s="7"/>
      <c r="H67" s="7"/>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6"/>
      <c r="AN67" s="6"/>
      <c r="AO67" s="6"/>
      <c r="AP67" s="6"/>
      <c r="AQ67" s="6"/>
      <c r="AR67" s="6"/>
      <c r="AS67" s="6"/>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row>
    <row r="68" spans="1:77" x14ac:dyDescent="0.2">
      <c r="A68" s="7"/>
      <c r="B68" s="7"/>
      <c r="C68" s="7"/>
      <c r="D68" s="7"/>
      <c r="E68" s="7"/>
      <c r="F68" s="7"/>
      <c r="G68" s="7"/>
      <c r="H68" s="7"/>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6"/>
      <c r="AN68" s="6"/>
      <c r="AO68" s="6"/>
      <c r="AP68" s="6"/>
      <c r="AQ68" s="6"/>
      <c r="AR68" s="6"/>
      <c r="AS68" s="6"/>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row>
    <row r="69" spans="1:77" x14ac:dyDescent="0.2">
      <c r="A69" s="7"/>
      <c r="B69" s="7"/>
      <c r="C69" s="7"/>
      <c r="D69" s="7"/>
      <c r="E69" s="7"/>
      <c r="F69" s="7"/>
      <c r="G69" s="7"/>
      <c r="H69" s="7"/>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6"/>
      <c r="AN69" s="6"/>
      <c r="AO69" s="6"/>
      <c r="AP69" s="6"/>
      <c r="AQ69" s="6"/>
      <c r="AR69" s="6"/>
      <c r="AS69" s="6"/>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row>
    <row r="70" spans="1:77" x14ac:dyDescent="0.2">
      <c r="A70" s="7"/>
      <c r="B70" s="7"/>
      <c r="C70" s="7"/>
      <c r="D70" s="7"/>
      <c r="E70" s="7"/>
      <c r="F70" s="7"/>
      <c r="G70" s="7"/>
      <c r="H70" s="7"/>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6"/>
      <c r="AN70" s="6"/>
      <c r="AO70" s="6"/>
      <c r="AP70" s="6"/>
      <c r="AQ70" s="6"/>
      <c r="AR70" s="6"/>
      <c r="AS70" s="6"/>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row>
    <row r="71" spans="1:77" x14ac:dyDescent="0.2">
      <c r="A71" s="7"/>
      <c r="B71" s="7"/>
      <c r="C71" s="7"/>
      <c r="D71" s="7"/>
      <c r="E71" s="7"/>
      <c r="F71" s="7"/>
      <c r="G71" s="7"/>
      <c r="H71" s="7"/>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6"/>
      <c r="AN71" s="6"/>
      <c r="AO71" s="6"/>
      <c r="AP71" s="6"/>
      <c r="AQ71" s="6"/>
      <c r="AR71" s="6"/>
      <c r="AS71" s="6"/>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row>
    <row r="72" spans="1:77" x14ac:dyDescent="0.2">
      <c r="A72" s="7"/>
      <c r="B72" s="7"/>
      <c r="C72" s="7"/>
      <c r="D72" s="7"/>
      <c r="E72" s="7"/>
      <c r="F72" s="7"/>
      <c r="G72" s="7"/>
      <c r="H72" s="7"/>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6"/>
      <c r="AN72" s="6"/>
      <c r="AO72" s="6"/>
      <c r="AP72" s="6"/>
      <c r="AQ72" s="6"/>
      <c r="AR72" s="6"/>
      <c r="AS72" s="6"/>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row>
    <row r="73" spans="1:77" x14ac:dyDescent="0.2">
      <c r="A73" s="7"/>
      <c r="B73" s="7"/>
      <c r="C73" s="7"/>
      <c r="D73" s="7"/>
      <c r="E73" s="7"/>
      <c r="F73" s="7"/>
      <c r="G73" s="7"/>
      <c r="H73" s="7"/>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6"/>
      <c r="AN73" s="6"/>
      <c r="AO73" s="6"/>
      <c r="AP73" s="6"/>
      <c r="AQ73" s="6"/>
      <c r="AR73" s="6"/>
      <c r="AS73" s="6"/>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row>
    <row r="74" spans="1:77" x14ac:dyDescent="0.2">
      <c r="A74" s="7"/>
      <c r="B74" s="7"/>
      <c r="C74" s="7"/>
      <c r="D74" s="7"/>
      <c r="E74" s="7"/>
      <c r="F74" s="7"/>
      <c r="G74" s="7"/>
      <c r="H74" s="7"/>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6"/>
      <c r="AN74" s="6"/>
      <c r="AO74" s="6"/>
      <c r="AP74" s="6"/>
      <c r="AQ74" s="6"/>
      <c r="AR74" s="6"/>
      <c r="AS74" s="6"/>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row>
    <row r="75" spans="1:77" x14ac:dyDescent="0.2">
      <c r="A75" s="7"/>
      <c r="B75" s="7"/>
      <c r="C75" s="7"/>
      <c r="D75" s="7"/>
      <c r="E75" s="7"/>
      <c r="F75" s="7"/>
      <c r="G75" s="7"/>
      <c r="H75" s="7"/>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6"/>
      <c r="AN75" s="6"/>
      <c r="AO75" s="6"/>
      <c r="AP75" s="6"/>
      <c r="AQ75" s="6"/>
      <c r="AR75" s="6"/>
      <c r="AS75" s="6"/>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row>
    <row r="76" spans="1:77" x14ac:dyDescent="0.2">
      <c r="A76" s="7"/>
      <c r="B76" s="7"/>
      <c r="C76" s="7"/>
      <c r="D76" s="7"/>
      <c r="E76" s="7"/>
      <c r="F76" s="7"/>
      <c r="G76" s="7"/>
      <c r="H76" s="7"/>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6"/>
      <c r="AN76" s="6"/>
      <c r="AO76" s="6"/>
      <c r="AP76" s="6"/>
      <c r="AQ76" s="6"/>
      <c r="AR76" s="6"/>
      <c r="AS76" s="6"/>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row>
    <row r="77" spans="1:77" x14ac:dyDescent="0.2">
      <c r="A77" s="7"/>
      <c r="B77" s="7"/>
      <c r="C77" s="7"/>
      <c r="D77" s="7"/>
      <c r="E77" s="7"/>
      <c r="F77" s="7"/>
      <c r="G77" s="7"/>
      <c r="H77" s="7"/>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6"/>
      <c r="AN77" s="6"/>
      <c r="AO77" s="6"/>
      <c r="AP77" s="6"/>
      <c r="AQ77" s="6"/>
      <c r="AR77" s="6"/>
      <c r="AS77" s="6"/>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row>
    <row r="78" spans="1:77" x14ac:dyDescent="0.2">
      <c r="A78" s="7"/>
      <c r="B78" s="7"/>
      <c r="C78" s="7"/>
      <c r="D78" s="7"/>
      <c r="E78" s="7"/>
      <c r="F78" s="7"/>
      <c r="G78" s="7"/>
      <c r="H78" s="7"/>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6"/>
      <c r="AN78" s="6"/>
      <c r="AO78" s="6"/>
      <c r="AP78" s="6"/>
      <c r="AQ78" s="6"/>
      <c r="AR78" s="6"/>
      <c r="AS78" s="6"/>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row>
    <row r="79" spans="1:77" x14ac:dyDescent="0.2">
      <c r="A79" s="7"/>
      <c r="B79" s="7"/>
      <c r="C79" s="7"/>
      <c r="D79" s="7"/>
      <c r="E79" s="7"/>
      <c r="F79" s="7"/>
      <c r="G79" s="7"/>
      <c r="H79" s="7"/>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6"/>
      <c r="AN79" s="6"/>
      <c r="AO79" s="6"/>
      <c r="AP79" s="6"/>
      <c r="AQ79" s="6"/>
      <c r="AR79" s="6"/>
      <c r="AS79" s="6"/>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row>
    <row r="80" spans="1:77" x14ac:dyDescent="0.2">
      <c r="A80" s="7"/>
      <c r="B80" s="7"/>
      <c r="C80" s="7"/>
      <c r="D80" s="7"/>
      <c r="E80" s="7"/>
      <c r="F80" s="7"/>
      <c r="G80" s="7"/>
      <c r="H80" s="7"/>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6"/>
      <c r="AN80" s="6"/>
      <c r="AO80" s="6"/>
      <c r="AP80" s="6"/>
      <c r="AQ80" s="6"/>
      <c r="AR80" s="6"/>
      <c r="AS80" s="6"/>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row>
    <row r="81" spans="1:77" x14ac:dyDescent="0.2">
      <c r="A81" s="7"/>
      <c r="B81" s="7"/>
      <c r="C81" s="7"/>
      <c r="D81" s="7"/>
      <c r="E81" s="7"/>
      <c r="F81" s="7"/>
      <c r="G81" s="7"/>
      <c r="H81" s="7"/>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6"/>
      <c r="AN81" s="6"/>
      <c r="AO81" s="6"/>
      <c r="AP81" s="6"/>
      <c r="AQ81" s="6"/>
      <c r="AR81" s="6"/>
      <c r="AS81" s="6"/>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row>
    <row r="82" spans="1:77" x14ac:dyDescent="0.2">
      <c r="A82" s="7"/>
      <c r="B82" s="7"/>
      <c r="C82" s="7"/>
      <c r="D82" s="7"/>
      <c r="E82" s="7"/>
      <c r="F82" s="7"/>
      <c r="G82" s="7"/>
      <c r="H82" s="7"/>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6"/>
      <c r="AN82" s="6"/>
      <c r="AO82" s="6"/>
      <c r="AP82" s="6"/>
      <c r="AQ82" s="6"/>
      <c r="AR82" s="6"/>
      <c r="AS82" s="6"/>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row>
    <row r="83" spans="1:77" x14ac:dyDescent="0.2">
      <c r="A83" s="7"/>
      <c r="B83" s="7"/>
      <c r="C83" s="7"/>
      <c r="D83" s="7"/>
      <c r="E83" s="7"/>
      <c r="F83" s="7"/>
      <c r="G83" s="7"/>
      <c r="H83" s="7"/>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6"/>
      <c r="AN83" s="6"/>
      <c r="AO83" s="6"/>
      <c r="AP83" s="6"/>
      <c r="AQ83" s="6"/>
      <c r="AR83" s="6"/>
      <c r="AS83" s="6"/>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row>
    <row r="84" spans="1:77" x14ac:dyDescent="0.2">
      <c r="A84" s="7"/>
      <c r="B84" s="7"/>
      <c r="C84" s="7"/>
      <c r="D84" s="7"/>
      <c r="E84" s="7"/>
      <c r="F84" s="7"/>
      <c r="G84" s="7"/>
      <c r="H84" s="7"/>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6"/>
      <c r="AN84" s="6"/>
      <c r="AO84" s="6"/>
      <c r="AP84" s="6"/>
      <c r="AQ84" s="6"/>
      <c r="AR84" s="6"/>
      <c r="AS84" s="6"/>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row>
    <row r="85" spans="1:77" x14ac:dyDescent="0.2">
      <c r="A85" s="7"/>
      <c r="B85" s="7"/>
      <c r="C85" s="7"/>
      <c r="D85" s="7"/>
      <c r="E85" s="7"/>
      <c r="F85" s="7"/>
      <c r="G85" s="7"/>
      <c r="H85" s="7"/>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6"/>
      <c r="AN85" s="6"/>
      <c r="AO85" s="6"/>
      <c r="AP85" s="6"/>
      <c r="AQ85" s="6"/>
      <c r="AR85" s="6"/>
      <c r="AS85" s="6"/>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row>
    <row r="86" spans="1:77" x14ac:dyDescent="0.2">
      <c r="A86" s="7"/>
      <c r="B86" s="7"/>
      <c r="C86" s="7"/>
      <c r="D86" s="7"/>
      <c r="E86" s="7"/>
      <c r="F86" s="7"/>
      <c r="G86" s="7"/>
      <c r="H86" s="7"/>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6"/>
      <c r="AN86" s="6"/>
      <c r="AO86" s="6"/>
      <c r="AP86" s="6"/>
      <c r="AQ86" s="6"/>
      <c r="AR86" s="6"/>
      <c r="AS86" s="6"/>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row>
    <row r="87" spans="1:77" x14ac:dyDescent="0.2">
      <c r="A87" s="7"/>
      <c r="B87" s="7"/>
      <c r="C87" s="7"/>
      <c r="D87" s="7"/>
      <c r="E87" s="7"/>
      <c r="F87" s="7"/>
      <c r="G87" s="7"/>
      <c r="H87" s="7"/>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6"/>
      <c r="AN87" s="6"/>
      <c r="AO87" s="6"/>
      <c r="AP87" s="6"/>
      <c r="AQ87" s="6"/>
      <c r="AR87" s="6"/>
      <c r="AS87" s="6"/>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row>
    <row r="88" spans="1:77" x14ac:dyDescent="0.2">
      <c r="A88" s="7"/>
      <c r="B88" s="7"/>
      <c r="C88" s="7"/>
      <c r="D88" s="7"/>
      <c r="E88" s="7"/>
      <c r="F88" s="7"/>
      <c r="G88" s="7"/>
      <c r="H88" s="7"/>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6"/>
      <c r="AN88" s="6"/>
      <c r="AO88" s="6"/>
      <c r="AP88" s="6"/>
      <c r="AQ88" s="6"/>
      <c r="AR88" s="6"/>
      <c r="AS88" s="6"/>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row>
    <row r="89" spans="1:77" x14ac:dyDescent="0.2">
      <c r="A89" s="7"/>
      <c r="B89" s="7"/>
      <c r="C89" s="7"/>
      <c r="D89" s="7"/>
      <c r="E89" s="7"/>
      <c r="F89" s="7"/>
      <c r="G89" s="7"/>
      <c r="H89" s="7"/>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6"/>
      <c r="AN89" s="6"/>
      <c r="AO89" s="6"/>
      <c r="AP89" s="6"/>
      <c r="AQ89" s="6"/>
      <c r="AR89" s="6"/>
      <c r="AS89" s="6"/>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row>
    <row r="90" spans="1:77" x14ac:dyDescent="0.2">
      <c r="A90" s="7"/>
      <c r="B90" s="7"/>
      <c r="C90" s="7"/>
      <c r="D90" s="7"/>
      <c r="E90" s="7"/>
      <c r="F90" s="7"/>
      <c r="G90" s="7"/>
      <c r="H90" s="7"/>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6"/>
      <c r="AN90" s="6"/>
      <c r="AO90" s="6"/>
      <c r="AP90" s="6"/>
      <c r="AQ90" s="6"/>
      <c r="AR90" s="6"/>
      <c r="AS90" s="6"/>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row>
    <row r="91" spans="1:77" x14ac:dyDescent="0.2">
      <c r="A91" s="7"/>
      <c r="B91" s="7"/>
      <c r="C91" s="7"/>
      <c r="D91" s="7"/>
      <c r="E91" s="7"/>
      <c r="F91" s="7"/>
      <c r="G91" s="7"/>
      <c r="H91" s="7"/>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6"/>
      <c r="AN91" s="6"/>
      <c r="AO91" s="6"/>
      <c r="AP91" s="6"/>
      <c r="AQ91" s="6"/>
      <c r="AR91" s="6"/>
      <c r="AS91" s="6"/>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row>
    <row r="92" spans="1:77" x14ac:dyDescent="0.2">
      <c r="A92" s="7"/>
      <c r="B92" s="7"/>
      <c r="C92" s="7"/>
      <c r="D92" s="7"/>
      <c r="E92" s="7"/>
      <c r="F92" s="7"/>
      <c r="G92" s="7"/>
      <c r="H92" s="7"/>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6"/>
      <c r="AN92" s="6"/>
      <c r="AO92" s="6"/>
      <c r="AP92" s="6"/>
      <c r="AQ92" s="6"/>
      <c r="AR92" s="6"/>
      <c r="AS92" s="6"/>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row>
    <row r="93" spans="1:77" x14ac:dyDescent="0.2">
      <c r="A93" s="7"/>
      <c r="B93" s="7"/>
      <c r="C93" s="7"/>
      <c r="D93" s="7"/>
      <c r="E93" s="7"/>
      <c r="F93" s="7"/>
      <c r="G93" s="7"/>
      <c r="H93" s="7"/>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6"/>
      <c r="AN93" s="6"/>
      <c r="AO93" s="6"/>
      <c r="AP93" s="6"/>
      <c r="AQ93" s="6"/>
      <c r="AR93" s="6"/>
      <c r="AS93" s="6"/>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row>
    <row r="94" spans="1:77" x14ac:dyDescent="0.2">
      <c r="A94" s="7"/>
      <c r="B94" s="7"/>
      <c r="C94" s="7"/>
      <c r="D94" s="7"/>
      <c r="E94" s="7"/>
      <c r="F94" s="7"/>
      <c r="G94" s="7"/>
      <c r="H94" s="7"/>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6"/>
      <c r="AN94" s="6"/>
      <c r="AO94" s="6"/>
      <c r="AP94" s="6"/>
      <c r="AQ94" s="6"/>
      <c r="AR94" s="6"/>
      <c r="AS94" s="6"/>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row>
    <row r="95" spans="1:77" x14ac:dyDescent="0.2">
      <c r="A95" s="7"/>
      <c r="B95" s="7"/>
      <c r="C95" s="7"/>
      <c r="D95" s="7"/>
      <c r="E95" s="7"/>
      <c r="F95" s="7"/>
      <c r="G95" s="7"/>
      <c r="H95" s="7"/>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6"/>
      <c r="AN95" s="6"/>
      <c r="AO95" s="6"/>
      <c r="AP95" s="6"/>
      <c r="AQ95" s="6"/>
      <c r="AR95" s="6"/>
      <c r="AS95" s="6"/>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row>
    <row r="96" spans="1:77" x14ac:dyDescent="0.2">
      <c r="A96" s="7"/>
      <c r="B96" s="7"/>
      <c r="C96" s="7"/>
      <c r="D96" s="7"/>
      <c r="E96" s="7"/>
      <c r="F96" s="7"/>
      <c r="G96" s="7"/>
      <c r="H96" s="7"/>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6"/>
      <c r="AN96" s="6"/>
      <c r="AO96" s="6"/>
      <c r="AP96" s="6"/>
      <c r="AQ96" s="6"/>
      <c r="AR96" s="6"/>
      <c r="AS96" s="6"/>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row>
    <row r="97" spans="1:77" x14ac:dyDescent="0.2">
      <c r="A97" s="7"/>
      <c r="B97" s="7"/>
      <c r="C97" s="7"/>
      <c r="D97" s="7"/>
      <c r="E97" s="7"/>
      <c r="F97" s="7"/>
      <c r="G97" s="7"/>
      <c r="H97" s="7"/>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6"/>
      <c r="AN97" s="6"/>
      <c r="AO97" s="6"/>
      <c r="AP97" s="6"/>
      <c r="AQ97" s="6"/>
      <c r="AR97" s="6"/>
      <c r="AS97" s="6"/>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row>
    <row r="98" spans="1:77" x14ac:dyDescent="0.2">
      <c r="A98" s="7"/>
      <c r="B98" s="7"/>
      <c r="C98" s="7"/>
      <c r="D98" s="7"/>
      <c r="E98" s="7"/>
      <c r="F98" s="7"/>
      <c r="G98" s="7"/>
      <c r="H98" s="7"/>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6"/>
      <c r="AN98" s="6"/>
      <c r="AO98" s="6"/>
      <c r="AP98" s="6"/>
      <c r="AQ98" s="6"/>
      <c r="AR98" s="6"/>
      <c r="AS98" s="6"/>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row>
    <row r="99" spans="1:77" x14ac:dyDescent="0.2">
      <c r="A99" s="7"/>
      <c r="B99" s="7"/>
      <c r="C99" s="7"/>
      <c r="D99" s="7"/>
      <c r="E99" s="7"/>
      <c r="F99" s="7"/>
      <c r="G99" s="7"/>
      <c r="H99" s="7"/>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6"/>
      <c r="AN99" s="6"/>
      <c r="AO99" s="6"/>
      <c r="AP99" s="6"/>
      <c r="AQ99" s="6"/>
      <c r="AR99" s="6"/>
      <c r="AS99" s="6"/>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row>
    <row r="100" spans="1:77" x14ac:dyDescent="0.2">
      <c r="A100" s="7"/>
      <c r="B100" s="7"/>
      <c r="C100" s="7"/>
      <c r="D100" s="7"/>
      <c r="E100" s="7"/>
      <c r="F100" s="7"/>
      <c r="G100" s="7"/>
      <c r="H100" s="7"/>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6"/>
      <c r="AN100" s="6"/>
      <c r="AO100" s="6"/>
      <c r="AP100" s="6"/>
      <c r="AQ100" s="6"/>
      <c r="AR100" s="6"/>
      <c r="AS100" s="6"/>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row>
    <row r="101" spans="1:77" x14ac:dyDescent="0.2">
      <c r="A101" s="7"/>
      <c r="B101" s="7"/>
      <c r="C101" s="7"/>
      <c r="D101" s="7"/>
      <c r="E101" s="7"/>
      <c r="F101" s="7"/>
      <c r="G101" s="7"/>
      <c r="H101" s="7"/>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6"/>
      <c r="AN101" s="6"/>
      <c r="AO101" s="6"/>
      <c r="AP101" s="6"/>
      <c r="AQ101" s="6"/>
      <c r="AR101" s="6"/>
      <c r="AS101" s="6"/>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row>
    <row r="102" spans="1:77" x14ac:dyDescent="0.2">
      <c r="A102" s="7"/>
      <c r="B102" s="7"/>
      <c r="C102" s="7"/>
      <c r="D102" s="7"/>
      <c r="E102" s="7"/>
      <c r="F102" s="7"/>
      <c r="G102" s="7"/>
      <c r="H102" s="7"/>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6"/>
      <c r="AN102" s="6"/>
      <c r="AO102" s="6"/>
      <c r="AP102" s="6"/>
      <c r="AQ102" s="6"/>
      <c r="AR102" s="6"/>
      <c r="AS102" s="6"/>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row>
    <row r="103" spans="1:77" x14ac:dyDescent="0.2">
      <c r="A103" s="7"/>
      <c r="B103" s="7"/>
      <c r="C103" s="7"/>
      <c r="D103" s="7"/>
      <c r="E103" s="7"/>
      <c r="F103" s="7"/>
      <c r="G103" s="7"/>
      <c r="H103" s="7"/>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6"/>
      <c r="AN103" s="6"/>
      <c r="AO103" s="6"/>
      <c r="AP103" s="6"/>
      <c r="AQ103" s="6"/>
      <c r="AR103" s="6"/>
      <c r="AS103" s="6"/>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row>
    <row r="104" spans="1:77" x14ac:dyDescent="0.2">
      <c r="A104" s="7"/>
      <c r="B104" s="7"/>
      <c r="C104" s="7"/>
      <c r="D104" s="7"/>
      <c r="E104" s="7"/>
      <c r="F104" s="7"/>
      <c r="G104" s="7"/>
      <c r="H104" s="7"/>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6"/>
      <c r="AN104" s="6"/>
      <c r="AO104" s="6"/>
      <c r="AP104" s="6"/>
      <c r="AQ104" s="6"/>
      <c r="AR104" s="6"/>
      <c r="AS104" s="6"/>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row>
    <row r="105" spans="1:77" x14ac:dyDescent="0.2">
      <c r="A105" s="7"/>
      <c r="B105" s="7"/>
      <c r="C105" s="7"/>
      <c r="D105" s="7"/>
      <c r="E105" s="7"/>
      <c r="F105" s="7"/>
      <c r="G105" s="7"/>
      <c r="H105" s="7"/>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6"/>
      <c r="AN105" s="6"/>
      <c r="AO105" s="6"/>
      <c r="AP105" s="6"/>
      <c r="AQ105" s="6"/>
      <c r="AR105" s="6"/>
      <c r="AS105" s="6"/>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row>
    <row r="106" spans="1:77" x14ac:dyDescent="0.2">
      <c r="A106" s="7"/>
      <c r="B106" s="7"/>
      <c r="C106" s="7"/>
      <c r="D106" s="7"/>
      <c r="E106" s="7"/>
      <c r="F106" s="7"/>
      <c r="G106" s="7"/>
      <c r="H106" s="7"/>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6"/>
      <c r="AN106" s="6"/>
      <c r="AO106" s="6"/>
      <c r="AP106" s="6"/>
      <c r="AQ106" s="6"/>
      <c r="AR106" s="6"/>
      <c r="AS106" s="6"/>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row>
    <row r="107" spans="1:77" x14ac:dyDescent="0.2">
      <c r="A107" s="7"/>
      <c r="B107" s="7"/>
      <c r="C107" s="7"/>
      <c r="D107" s="7"/>
      <c r="E107" s="7"/>
      <c r="F107" s="7"/>
      <c r="G107" s="7"/>
      <c r="H107" s="7"/>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6"/>
      <c r="AN107" s="6"/>
      <c r="AO107" s="6"/>
      <c r="AP107" s="6"/>
      <c r="AQ107" s="6"/>
      <c r="AR107" s="6"/>
      <c r="AS107" s="6"/>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row>
    <row r="108" spans="1:77" x14ac:dyDescent="0.2">
      <c r="A108" s="7"/>
      <c r="B108" s="7"/>
      <c r="C108" s="7"/>
      <c r="D108" s="7"/>
      <c r="E108" s="7"/>
      <c r="F108" s="7"/>
      <c r="G108" s="7"/>
      <c r="H108" s="7"/>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6"/>
      <c r="AN108" s="6"/>
      <c r="AO108" s="6"/>
      <c r="AP108" s="6"/>
      <c r="AQ108" s="6"/>
      <c r="AR108" s="6"/>
      <c r="AS108" s="6"/>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row>
    <row r="109" spans="1:77" x14ac:dyDescent="0.2">
      <c r="A109" s="7"/>
      <c r="B109" s="7"/>
      <c r="C109" s="7"/>
      <c r="D109" s="7"/>
      <c r="E109" s="7"/>
      <c r="F109" s="7"/>
      <c r="G109" s="7"/>
      <c r="H109" s="7"/>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6"/>
      <c r="AN109" s="6"/>
      <c r="AO109" s="6"/>
      <c r="AP109" s="6"/>
      <c r="AQ109" s="6"/>
      <c r="AR109" s="6"/>
      <c r="AS109" s="6"/>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row>
    <row r="110" spans="1:77" x14ac:dyDescent="0.2">
      <c r="A110" s="7"/>
      <c r="B110" s="7"/>
      <c r="C110" s="7"/>
      <c r="D110" s="7"/>
      <c r="E110" s="7"/>
      <c r="F110" s="7"/>
      <c r="G110" s="7"/>
      <c r="H110" s="7"/>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6"/>
      <c r="AN110" s="6"/>
      <c r="AO110" s="6"/>
      <c r="AP110" s="6"/>
      <c r="AQ110" s="6"/>
      <c r="AR110" s="6"/>
      <c r="AS110" s="6"/>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row>
    <row r="111" spans="1:77" x14ac:dyDescent="0.2">
      <c r="A111" s="7"/>
      <c r="B111" s="7"/>
      <c r="C111" s="7"/>
      <c r="D111" s="7"/>
      <c r="E111" s="7"/>
      <c r="F111" s="7"/>
      <c r="G111" s="7"/>
      <c r="H111" s="7"/>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6"/>
      <c r="AN111" s="6"/>
      <c r="AO111" s="6"/>
      <c r="AP111" s="6"/>
      <c r="AQ111" s="6"/>
      <c r="AR111" s="6"/>
      <c r="AS111" s="6"/>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row>
    <row r="112" spans="1:77" x14ac:dyDescent="0.2">
      <c r="A112" s="7"/>
      <c r="B112" s="7"/>
      <c r="C112" s="7"/>
      <c r="D112" s="7"/>
      <c r="E112" s="7"/>
      <c r="F112" s="7"/>
      <c r="G112" s="7"/>
      <c r="H112" s="7"/>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6"/>
      <c r="AN112" s="6"/>
      <c r="AO112" s="6"/>
      <c r="AP112" s="6"/>
      <c r="AQ112" s="6"/>
      <c r="AR112" s="6"/>
      <c r="AS112" s="6"/>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row>
    <row r="113" spans="1:77" x14ac:dyDescent="0.2">
      <c r="A113" s="7"/>
      <c r="B113" s="7"/>
      <c r="C113" s="7"/>
      <c r="D113" s="7"/>
      <c r="E113" s="7"/>
      <c r="F113" s="7"/>
      <c r="G113" s="7"/>
      <c r="H113" s="7"/>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6"/>
      <c r="AN113" s="6"/>
      <c r="AO113" s="6"/>
      <c r="AP113" s="6"/>
      <c r="AQ113" s="6"/>
      <c r="AR113" s="6"/>
      <c r="AS113" s="6"/>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row>
    <row r="114" spans="1:77" x14ac:dyDescent="0.2">
      <c r="A114" s="7"/>
      <c r="B114" s="7"/>
      <c r="C114" s="7"/>
      <c r="D114" s="7"/>
      <c r="E114" s="7"/>
      <c r="F114" s="7"/>
      <c r="G114" s="7"/>
      <c r="H114" s="7"/>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6"/>
      <c r="AN114" s="6"/>
      <c r="AO114" s="6"/>
      <c r="AP114" s="6"/>
      <c r="AQ114" s="6"/>
      <c r="AR114" s="6"/>
      <c r="AS114" s="6"/>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row>
    <row r="115" spans="1:77" x14ac:dyDescent="0.2">
      <c r="A115" s="7"/>
      <c r="B115" s="7"/>
      <c r="C115" s="7"/>
      <c r="D115" s="7"/>
      <c r="E115" s="7"/>
      <c r="F115" s="7"/>
      <c r="G115" s="7"/>
      <c r="H115" s="7"/>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6"/>
      <c r="AN115" s="6"/>
      <c r="AO115" s="6"/>
      <c r="AP115" s="6"/>
      <c r="AQ115" s="6"/>
      <c r="AR115" s="6"/>
      <c r="AS115" s="6"/>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row>
    <row r="116" spans="1:77" x14ac:dyDescent="0.2">
      <c r="A116" s="7"/>
      <c r="B116" s="7"/>
      <c r="C116" s="7"/>
      <c r="D116" s="7"/>
      <c r="E116" s="7"/>
      <c r="F116" s="7"/>
      <c r="G116" s="7"/>
      <c r="H116" s="7"/>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6"/>
      <c r="AN116" s="6"/>
      <c r="AO116" s="6"/>
      <c r="AP116" s="6"/>
      <c r="AQ116" s="6"/>
      <c r="AR116" s="6"/>
      <c r="AS116" s="6"/>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row>
    <row r="117" spans="1:77" x14ac:dyDescent="0.2">
      <c r="A117" s="7"/>
      <c r="B117" s="7"/>
      <c r="C117" s="7"/>
      <c r="D117" s="7"/>
      <c r="E117" s="7"/>
      <c r="F117" s="7"/>
      <c r="G117" s="7"/>
      <c r="H117" s="7"/>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6"/>
      <c r="AN117" s="6"/>
      <c r="AO117" s="6"/>
      <c r="AP117" s="6"/>
      <c r="AQ117" s="6"/>
      <c r="AR117" s="6"/>
      <c r="AS117" s="6"/>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row>
    <row r="118" spans="1:77" x14ac:dyDescent="0.2">
      <c r="A118" s="7"/>
      <c r="B118" s="7"/>
      <c r="C118" s="7"/>
      <c r="D118" s="7"/>
      <c r="E118" s="7"/>
      <c r="F118" s="7"/>
      <c r="G118" s="7"/>
      <c r="H118" s="7"/>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6"/>
      <c r="AN118" s="6"/>
      <c r="AO118" s="6"/>
      <c r="AP118" s="6"/>
      <c r="AQ118" s="6"/>
      <c r="AR118" s="6"/>
      <c r="AS118" s="6"/>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row>
    <row r="119" spans="1:77" x14ac:dyDescent="0.2">
      <c r="A119" s="7"/>
      <c r="B119" s="7"/>
      <c r="C119" s="7"/>
      <c r="D119" s="7"/>
      <c r="E119" s="7"/>
      <c r="F119" s="7"/>
      <c r="G119" s="7"/>
      <c r="H119" s="7"/>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6"/>
      <c r="AN119" s="6"/>
      <c r="AO119" s="6"/>
      <c r="AP119" s="6"/>
      <c r="AQ119" s="6"/>
      <c r="AR119" s="6"/>
      <c r="AS119" s="6"/>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row>
    <row r="120" spans="1:77" x14ac:dyDescent="0.2">
      <c r="A120" s="7"/>
      <c r="B120" s="7"/>
      <c r="C120" s="7"/>
      <c r="D120" s="7"/>
      <c r="E120" s="7"/>
      <c r="F120" s="7"/>
      <c r="G120" s="7"/>
      <c r="H120" s="7"/>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6"/>
      <c r="AN120" s="6"/>
      <c r="AO120" s="6"/>
      <c r="AP120" s="6"/>
      <c r="AQ120" s="6"/>
      <c r="AR120" s="6"/>
      <c r="AS120" s="6"/>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row>
    <row r="121" spans="1:77" x14ac:dyDescent="0.2">
      <c r="A121" s="7"/>
      <c r="B121" s="7"/>
      <c r="C121" s="7"/>
      <c r="D121" s="7"/>
      <c r="E121" s="7"/>
      <c r="F121" s="7"/>
      <c r="G121" s="7"/>
      <c r="H121" s="7"/>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6"/>
      <c r="AN121" s="6"/>
      <c r="AO121" s="6"/>
      <c r="AP121" s="6"/>
      <c r="AQ121" s="6"/>
      <c r="AR121" s="6"/>
      <c r="AS121" s="6"/>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row>
    <row r="122" spans="1:77" x14ac:dyDescent="0.2">
      <c r="A122" s="7"/>
      <c r="B122" s="7"/>
      <c r="C122" s="7"/>
      <c r="D122" s="7"/>
      <c r="E122" s="7"/>
      <c r="F122" s="7"/>
      <c r="G122" s="7"/>
      <c r="H122" s="7"/>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6"/>
      <c r="AN122" s="6"/>
      <c r="AO122" s="6"/>
      <c r="AP122" s="6"/>
      <c r="AQ122" s="6"/>
      <c r="AR122" s="6"/>
      <c r="AS122" s="6"/>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row>
    <row r="123" spans="1:77" x14ac:dyDescent="0.2">
      <c r="A123" s="7"/>
      <c r="B123" s="7"/>
      <c r="C123" s="7"/>
      <c r="D123" s="7"/>
      <c r="E123" s="7"/>
      <c r="F123" s="7"/>
      <c r="G123" s="7"/>
      <c r="H123" s="7"/>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6"/>
      <c r="AN123" s="6"/>
      <c r="AO123" s="6"/>
      <c r="AP123" s="6"/>
      <c r="AQ123" s="6"/>
      <c r="AR123" s="6"/>
      <c r="AS123" s="6"/>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row>
    <row r="124" spans="1:77" x14ac:dyDescent="0.2">
      <c r="A124" s="7"/>
      <c r="B124" s="7"/>
      <c r="C124" s="7"/>
      <c r="D124" s="7"/>
      <c r="E124" s="7"/>
      <c r="F124" s="7"/>
      <c r="G124" s="7"/>
      <c r="H124" s="7"/>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6"/>
      <c r="AN124" s="6"/>
      <c r="AO124" s="6"/>
      <c r="AP124" s="6"/>
      <c r="AQ124" s="6"/>
      <c r="AR124" s="6"/>
      <c r="AS124" s="6"/>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row>
    <row r="125" spans="1:77" x14ac:dyDescent="0.2">
      <c r="A125" s="7"/>
      <c r="B125" s="7"/>
      <c r="C125" s="7"/>
      <c r="D125" s="7"/>
      <c r="E125" s="7"/>
      <c r="F125" s="7"/>
      <c r="G125" s="7"/>
      <c r="H125" s="7"/>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6"/>
      <c r="AN125" s="6"/>
      <c r="AO125" s="6"/>
      <c r="AP125" s="6"/>
      <c r="AQ125" s="6"/>
      <c r="AR125" s="6"/>
      <c r="AS125" s="6"/>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row>
    <row r="126" spans="1:77" x14ac:dyDescent="0.2">
      <c r="A126" s="7"/>
      <c r="B126" s="7"/>
      <c r="C126" s="7"/>
      <c r="D126" s="7"/>
      <c r="E126" s="7"/>
      <c r="F126" s="7"/>
      <c r="G126" s="7"/>
      <c r="H126" s="7"/>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6"/>
      <c r="AN126" s="6"/>
      <c r="AO126" s="6"/>
      <c r="AP126" s="6"/>
      <c r="AQ126" s="6"/>
      <c r="AR126" s="6"/>
      <c r="AS126" s="6"/>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row>
    <row r="127" spans="1:77" x14ac:dyDescent="0.2">
      <c r="A127" s="7"/>
      <c r="B127" s="7"/>
      <c r="C127" s="7"/>
      <c r="D127" s="7"/>
      <c r="E127" s="7"/>
      <c r="F127" s="7"/>
      <c r="G127" s="7"/>
      <c r="H127" s="7"/>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6"/>
      <c r="AN127" s="6"/>
      <c r="AO127" s="6"/>
      <c r="AP127" s="6"/>
      <c r="AQ127" s="6"/>
      <c r="AR127" s="6"/>
      <c r="AS127" s="6"/>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row>
    <row r="128" spans="1:77" x14ac:dyDescent="0.2">
      <c r="A128" s="7"/>
      <c r="B128" s="7"/>
      <c r="C128" s="7"/>
      <c r="D128" s="7"/>
      <c r="E128" s="7"/>
      <c r="F128" s="7"/>
      <c r="G128" s="7"/>
      <c r="H128" s="7"/>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6"/>
      <c r="AN128" s="6"/>
      <c r="AO128" s="6"/>
      <c r="AP128" s="6"/>
      <c r="AQ128" s="6"/>
      <c r="AR128" s="6"/>
      <c r="AS128" s="6"/>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row>
    <row r="129" spans="1:77" x14ac:dyDescent="0.2">
      <c r="A129" s="7"/>
      <c r="B129" s="7"/>
      <c r="C129" s="7"/>
      <c r="D129" s="7"/>
      <c r="E129" s="7"/>
      <c r="F129" s="7"/>
      <c r="G129" s="7"/>
      <c r="H129" s="7"/>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6"/>
      <c r="AN129" s="6"/>
      <c r="AO129" s="6"/>
      <c r="AP129" s="6"/>
      <c r="AQ129" s="6"/>
      <c r="AR129" s="6"/>
      <c r="AS129" s="6"/>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row>
    <row r="130" spans="1:77" x14ac:dyDescent="0.2">
      <c r="A130" s="7"/>
      <c r="B130" s="7"/>
      <c r="C130" s="7"/>
      <c r="D130" s="7"/>
      <c r="E130" s="7"/>
      <c r="F130" s="7"/>
      <c r="G130" s="7"/>
      <c r="H130" s="7"/>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6"/>
      <c r="AN130" s="6"/>
      <c r="AO130" s="6"/>
      <c r="AP130" s="6"/>
      <c r="AQ130" s="6"/>
      <c r="AR130" s="6"/>
      <c r="AS130" s="6"/>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row>
    <row r="131" spans="1:77" x14ac:dyDescent="0.2">
      <c r="A131" s="7"/>
      <c r="B131" s="7"/>
      <c r="C131" s="7"/>
      <c r="D131" s="7"/>
      <c r="E131" s="7"/>
      <c r="F131" s="7"/>
      <c r="G131" s="7"/>
      <c r="H131" s="7"/>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6"/>
      <c r="AN131" s="6"/>
      <c r="AO131" s="6"/>
      <c r="AP131" s="6"/>
      <c r="AQ131" s="6"/>
      <c r="AR131" s="6"/>
      <c r="AS131" s="6"/>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row>
    <row r="132" spans="1:77" x14ac:dyDescent="0.2">
      <c r="A132" s="7"/>
      <c r="B132" s="7"/>
      <c r="C132" s="7"/>
      <c r="D132" s="7"/>
      <c r="E132" s="7"/>
      <c r="F132" s="7"/>
      <c r="G132" s="7"/>
      <c r="H132" s="7"/>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6"/>
      <c r="AN132" s="6"/>
      <c r="AO132" s="6"/>
      <c r="AP132" s="6"/>
      <c r="AQ132" s="6"/>
      <c r="AR132" s="6"/>
      <c r="AS132" s="6"/>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row>
    <row r="133" spans="1:77" x14ac:dyDescent="0.2">
      <c r="A133" s="7"/>
      <c r="B133" s="7"/>
      <c r="C133" s="7"/>
      <c r="D133" s="7"/>
      <c r="E133" s="7"/>
      <c r="F133" s="7"/>
      <c r="G133" s="7"/>
      <c r="H133" s="7"/>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6"/>
      <c r="AN133" s="6"/>
      <c r="AO133" s="6"/>
      <c r="AP133" s="6"/>
      <c r="AQ133" s="6"/>
      <c r="AR133" s="6"/>
      <c r="AS133" s="6"/>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row>
    <row r="134" spans="1:77" x14ac:dyDescent="0.2">
      <c r="A134" s="7"/>
      <c r="B134" s="7"/>
      <c r="C134" s="7"/>
      <c r="D134" s="7"/>
      <c r="E134" s="7"/>
      <c r="F134" s="7"/>
      <c r="G134" s="7"/>
      <c r="H134" s="7"/>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6"/>
      <c r="AN134" s="6"/>
      <c r="AO134" s="6"/>
      <c r="AP134" s="6"/>
      <c r="AQ134" s="6"/>
      <c r="AR134" s="6"/>
      <c r="AS134" s="6"/>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row>
    <row r="135" spans="1:77" x14ac:dyDescent="0.2">
      <c r="A135" s="7"/>
      <c r="B135" s="7"/>
      <c r="C135" s="7"/>
      <c r="D135" s="7"/>
      <c r="E135" s="7"/>
      <c r="F135" s="7"/>
      <c r="G135" s="7"/>
      <c r="H135" s="7"/>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6"/>
      <c r="AN135" s="6"/>
      <c r="AO135" s="6"/>
      <c r="AP135" s="6"/>
      <c r="AQ135" s="6"/>
      <c r="AR135" s="6"/>
      <c r="AS135" s="6"/>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row>
    <row r="136" spans="1:77" x14ac:dyDescent="0.2">
      <c r="A136" s="7"/>
      <c r="B136" s="7"/>
      <c r="C136" s="7"/>
      <c r="D136" s="7"/>
      <c r="E136" s="7"/>
      <c r="F136" s="7"/>
      <c r="G136" s="7"/>
      <c r="H136" s="7"/>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6"/>
      <c r="AN136" s="6"/>
      <c r="AO136" s="6"/>
      <c r="AP136" s="6"/>
      <c r="AQ136" s="6"/>
      <c r="AR136" s="6"/>
      <c r="AS136" s="6"/>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row>
    <row r="137" spans="1:77" x14ac:dyDescent="0.2">
      <c r="A137" s="7"/>
      <c r="B137" s="7"/>
      <c r="C137" s="7"/>
      <c r="D137" s="7"/>
      <c r="E137" s="7"/>
      <c r="F137" s="7"/>
      <c r="G137" s="7"/>
      <c r="H137" s="7"/>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6"/>
      <c r="AN137" s="6"/>
      <c r="AO137" s="6"/>
      <c r="AP137" s="6"/>
      <c r="AQ137" s="6"/>
      <c r="AR137" s="6"/>
      <c r="AS137" s="6"/>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row>
    <row r="138" spans="1:77" x14ac:dyDescent="0.2">
      <c r="A138" s="7"/>
      <c r="B138" s="7"/>
      <c r="C138" s="7"/>
      <c r="D138" s="7"/>
      <c r="E138" s="7"/>
      <c r="F138" s="7"/>
      <c r="G138" s="7"/>
      <c r="H138" s="7"/>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6"/>
      <c r="AN138" s="6"/>
      <c r="AO138" s="6"/>
      <c r="AP138" s="6"/>
      <c r="AQ138" s="6"/>
      <c r="AR138" s="6"/>
      <c r="AS138" s="6"/>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row>
    <row r="139" spans="1:77" x14ac:dyDescent="0.2">
      <c r="A139" s="7"/>
      <c r="B139" s="7"/>
      <c r="C139" s="7"/>
      <c r="D139" s="7"/>
      <c r="E139" s="7"/>
      <c r="F139" s="7"/>
      <c r="G139" s="7"/>
      <c r="H139" s="7"/>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6"/>
      <c r="AN139" s="6"/>
      <c r="AO139" s="6"/>
      <c r="AP139" s="6"/>
      <c r="AQ139" s="6"/>
      <c r="AR139" s="6"/>
      <c r="AS139" s="6"/>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row>
    <row r="140" spans="1:77" x14ac:dyDescent="0.2">
      <c r="A140" s="7"/>
      <c r="B140" s="7"/>
      <c r="C140" s="7"/>
      <c r="D140" s="7"/>
      <c r="E140" s="7"/>
      <c r="F140" s="7"/>
      <c r="G140" s="7"/>
      <c r="H140" s="7"/>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6"/>
      <c r="AN140" s="6"/>
      <c r="AO140" s="6"/>
      <c r="AP140" s="6"/>
      <c r="AQ140" s="6"/>
      <c r="AR140" s="6"/>
      <c r="AS140" s="6"/>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row>
    <row r="141" spans="1:77" x14ac:dyDescent="0.2">
      <c r="A141" s="7"/>
      <c r="B141" s="7"/>
      <c r="C141" s="7"/>
      <c r="D141" s="7"/>
      <c r="E141" s="7"/>
      <c r="F141" s="7"/>
      <c r="G141" s="7"/>
      <c r="H141" s="7"/>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6"/>
      <c r="AN141" s="6"/>
      <c r="AO141" s="6"/>
      <c r="AP141" s="6"/>
      <c r="AQ141" s="6"/>
      <c r="AR141" s="6"/>
      <c r="AS141" s="6"/>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row>
    <row r="142" spans="1:77" x14ac:dyDescent="0.2">
      <c r="A142" s="7"/>
      <c r="B142" s="7"/>
      <c r="C142" s="7"/>
      <c r="D142" s="7"/>
      <c r="E142" s="7"/>
      <c r="F142" s="7"/>
      <c r="G142" s="7"/>
      <c r="H142" s="7"/>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6"/>
      <c r="AN142" s="6"/>
      <c r="AO142" s="6"/>
      <c r="AP142" s="6"/>
      <c r="AQ142" s="6"/>
      <c r="AR142" s="6"/>
      <c r="AS142" s="6"/>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row>
    <row r="143" spans="1:77" x14ac:dyDescent="0.2">
      <c r="A143" s="7"/>
      <c r="B143" s="7"/>
      <c r="C143" s="7"/>
      <c r="D143" s="7"/>
      <c r="E143" s="7"/>
      <c r="F143" s="7"/>
      <c r="G143" s="7"/>
      <c r="H143" s="7"/>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6"/>
      <c r="AN143" s="6"/>
      <c r="AO143" s="6"/>
      <c r="AP143" s="6"/>
      <c r="AQ143" s="6"/>
      <c r="AR143" s="6"/>
      <c r="AS143" s="6"/>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row>
    <row r="144" spans="1:77" x14ac:dyDescent="0.2">
      <c r="A144" s="7"/>
      <c r="B144" s="7"/>
      <c r="C144" s="7"/>
      <c r="D144" s="7"/>
      <c r="E144" s="7"/>
      <c r="F144" s="7"/>
      <c r="G144" s="7"/>
      <c r="H144" s="7"/>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6"/>
      <c r="AN144" s="6"/>
      <c r="AO144" s="6"/>
      <c r="AP144" s="6"/>
      <c r="AQ144" s="6"/>
      <c r="AR144" s="6"/>
      <c r="AS144" s="6"/>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row>
    <row r="145" spans="1:77" x14ac:dyDescent="0.2">
      <c r="A145" s="7"/>
      <c r="B145" s="7"/>
      <c r="C145" s="7"/>
      <c r="D145" s="7"/>
      <c r="E145" s="7"/>
      <c r="F145" s="7"/>
      <c r="G145" s="7"/>
      <c r="H145" s="7"/>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6"/>
      <c r="AN145" s="6"/>
      <c r="AO145" s="6"/>
      <c r="AP145" s="6"/>
      <c r="AQ145" s="6"/>
      <c r="AR145" s="6"/>
      <c r="AS145" s="6"/>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row>
    <row r="146" spans="1:77" x14ac:dyDescent="0.2">
      <c r="A146" s="7"/>
      <c r="B146" s="7"/>
      <c r="C146" s="7"/>
      <c r="D146" s="7"/>
      <c r="E146" s="7"/>
      <c r="F146" s="7"/>
      <c r="G146" s="7"/>
      <c r="H146" s="7"/>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6"/>
      <c r="AN146" s="6"/>
      <c r="AO146" s="6"/>
      <c r="AP146" s="6"/>
      <c r="AQ146" s="6"/>
      <c r="AR146" s="6"/>
      <c r="AS146" s="6"/>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row>
    <row r="147" spans="1:77" x14ac:dyDescent="0.2">
      <c r="A147" s="7"/>
      <c r="B147" s="7"/>
      <c r="C147" s="7"/>
      <c r="D147" s="7"/>
      <c r="E147" s="7"/>
      <c r="F147" s="7"/>
      <c r="G147" s="7"/>
      <c r="H147" s="7"/>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6"/>
      <c r="AN147" s="6"/>
      <c r="AO147" s="6"/>
      <c r="AP147" s="6"/>
      <c r="AQ147" s="6"/>
      <c r="AR147" s="6"/>
      <c r="AS147" s="6"/>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row>
    <row r="148" spans="1:77" x14ac:dyDescent="0.2">
      <c r="A148" s="7"/>
      <c r="B148" s="7"/>
      <c r="C148" s="7"/>
      <c r="D148" s="7"/>
      <c r="E148" s="7"/>
      <c r="F148" s="7"/>
      <c r="G148" s="7"/>
      <c r="H148" s="7"/>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6"/>
      <c r="AN148" s="6"/>
      <c r="AO148" s="6"/>
      <c r="AP148" s="6"/>
      <c r="AQ148" s="6"/>
      <c r="AR148" s="6"/>
      <c r="AS148" s="6"/>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row>
    <row r="149" spans="1:77" x14ac:dyDescent="0.2">
      <c r="A149" s="7"/>
      <c r="B149" s="7"/>
      <c r="C149" s="7"/>
      <c r="D149" s="7"/>
      <c r="E149" s="7"/>
      <c r="F149" s="7"/>
      <c r="G149" s="7"/>
      <c r="H149" s="7"/>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6"/>
      <c r="AN149" s="6"/>
      <c r="AO149" s="6"/>
      <c r="AP149" s="6"/>
      <c r="AQ149" s="6"/>
      <c r="AR149" s="6"/>
      <c r="AS149" s="6"/>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row>
    <row r="150" spans="1:77" x14ac:dyDescent="0.2">
      <c r="A150" s="7"/>
      <c r="B150" s="7"/>
      <c r="C150" s="7"/>
      <c r="D150" s="7"/>
      <c r="E150" s="7"/>
      <c r="F150" s="7"/>
      <c r="G150" s="7"/>
      <c r="H150" s="7"/>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6"/>
      <c r="AN150" s="6"/>
      <c r="AO150" s="6"/>
      <c r="AP150" s="6"/>
      <c r="AQ150" s="6"/>
      <c r="AR150" s="6"/>
      <c r="AS150" s="6"/>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row>
    <row r="151" spans="1:77" x14ac:dyDescent="0.2">
      <c r="A151" s="7"/>
      <c r="B151" s="7"/>
      <c r="C151" s="7"/>
      <c r="D151" s="7"/>
      <c r="E151" s="7"/>
      <c r="F151" s="7"/>
      <c r="G151" s="7"/>
      <c r="H151" s="7"/>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6"/>
      <c r="AN151" s="6"/>
      <c r="AO151" s="6"/>
      <c r="AP151" s="6"/>
      <c r="AQ151" s="6"/>
      <c r="AR151" s="6"/>
      <c r="AS151" s="6"/>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row>
    <row r="152" spans="1:77" x14ac:dyDescent="0.2">
      <c r="A152" s="7"/>
      <c r="B152" s="7"/>
      <c r="C152" s="7"/>
      <c r="D152" s="7"/>
      <c r="E152" s="7"/>
      <c r="F152" s="7"/>
      <c r="G152" s="7"/>
      <c r="H152" s="7"/>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6"/>
      <c r="AN152" s="6"/>
      <c r="AO152" s="6"/>
      <c r="AP152" s="6"/>
      <c r="AQ152" s="6"/>
      <c r="AR152" s="6"/>
      <c r="AS152" s="6"/>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row>
    <row r="153" spans="1:77" x14ac:dyDescent="0.2">
      <c r="A153" s="7"/>
      <c r="B153" s="7"/>
      <c r="C153" s="7"/>
      <c r="D153" s="7"/>
      <c r="E153" s="7"/>
      <c r="F153" s="7"/>
      <c r="G153" s="7"/>
      <c r="H153" s="7"/>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6"/>
      <c r="AN153" s="6"/>
      <c r="AO153" s="6"/>
      <c r="AP153" s="6"/>
      <c r="AQ153" s="6"/>
      <c r="AR153" s="6"/>
      <c r="AS153" s="6"/>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row>
    <row r="154" spans="1:77" x14ac:dyDescent="0.2">
      <c r="A154" s="7"/>
      <c r="B154" s="7"/>
      <c r="C154" s="7"/>
      <c r="D154" s="7"/>
      <c r="E154" s="7"/>
      <c r="F154" s="7"/>
      <c r="G154" s="7"/>
      <c r="H154" s="7"/>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6"/>
      <c r="AN154" s="6"/>
      <c r="AO154" s="6"/>
      <c r="AP154" s="6"/>
      <c r="AQ154" s="6"/>
      <c r="AR154" s="6"/>
      <c r="AS154" s="6"/>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row>
    <row r="155" spans="1:77" x14ac:dyDescent="0.2">
      <c r="A155" s="7"/>
      <c r="B155" s="7"/>
      <c r="C155" s="7"/>
      <c r="D155" s="7"/>
      <c r="E155" s="7"/>
      <c r="F155" s="7"/>
      <c r="G155" s="7"/>
      <c r="H155" s="7"/>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6"/>
      <c r="AN155" s="6"/>
      <c r="AO155" s="6"/>
      <c r="AP155" s="6"/>
      <c r="AQ155" s="6"/>
      <c r="AR155" s="6"/>
      <c r="AS155" s="6"/>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row>
    <row r="156" spans="1:77" x14ac:dyDescent="0.2">
      <c r="A156" s="7"/>
      <c r="B156" s="7"/>
      <c r="C156" s="7"/>
      <c r="D156" s="7"/>
      <c r="E156" s="7"/>
      <c r="F156" s="7"/>
      <c r="G156" s="7"/>
      <c r="H156" s="7"/>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6"/>
      <c r="AN156" s="6"/>
      <c r="AO156" s="6"/>
      <c r="AP156" s="6"/>
      <c r="AQ156" s="6"/>
      <c r="AR156" s="6"/>
      <c r="AS156" s="6"/>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row>
    <row r="157" spans="1:77" x14ac:dyDescent="0.2">
      <c r="A157" s="7"/>
      <c r="B157" s="7"/>
      <c r="C157" s="7"/>
      <c r="D157" s="7"/>
      <c r="E157" s="7"/>
      <c r="F157" s="7"/>
      <c r="G157" s="7"/>
      <c r="H157" s="7"/>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6"/>
      <c r="AN157" s="6"/>
      <c r="AO157" s="6"/>
      <c r="AP157" s="6"/>
      <c r="AQ157" s="6"/>
      <c r="AR157" s="6"/>
      <c r="AS157" s="6"/>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row>
    <row r="158" spans="1:77" x14ac:dyDescent="0.2">
      <c r="A158" s="7"/>
      <c r="B158" s="7"/>
      <c r="C158" s="7"/>
      <c r="D158" s="7"/>
      <c r="E158" s="7"/>
      <c r="F158" s="7"/>
      <c r="G158" s="7"/>
      <c r="H158" s="7"/>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6"/>
      <c r="AN158" s="6"/>
      <c r="AO158" s="6"/>
      <c r="AP158" s="6"/>
      <c r="AQ158" s="6"/>
      <c r="AR158" s="6"/>
      <c r="AS158" s="6"/>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row>
    <row r="159" spans="1:77" x14ac:dyDescent="0.2">
      <c r="A159" s="7"/>
      <c r="B159" s="7"/>
      <c r="C159" s="7"/>
      <c r="D159" s="7"/>
      <c r="E159" s="7"/>
      <c r="F159" s="7"/>
      <c r="G159" s="7"/>
      <c r="H159" s="7"/>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6"/>
      <c r="AN159" s="6"/>
      <c r="AO159" s="6"/>
      <c r="AP159" s="6"/>
      <c r="AQ159" s="6"/>
      <c r="AR159" s="6"/>
      <c r="AS159" s="6"/>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row>
    <row r="160" spans="1:77" x14ac:dyDescent="0.2">
      <c r="A160" s="7"/>
      <c r="B160" s="7"/>
      <c r="C160" s="7"/>
      <c r="D160" s="7"/>
      <c r="E160" s="7"/>
      <c r="F160" s="7"/>
      <c r="G160" s="7"/>
      <c r="H160" s="7"/>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6"/>
      <c r="AN160" s="6"/>
      <c r="AO160" s="6"/>
      <c r="AP160" s="6"/>
      <c r="AQ160" s="6"/>
      <c r="AR160" s="6"/>
      <c r="AS160" s="6"/>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row>
    <row r="161" spans="1:77" x14ac:dyDescent="0.2">
      <c r="A161" s="7"/>
      <c r="B161" s="7"/>
      <c r="C161" s="7"/>
      <c r="D161" s="7"/>
      <c r="E161" s="7"/>
      <c r="F161" s="7"/>
      <c r="G161" s="7"/>
      <c r="H161" s="7"/>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6"/>
      <c r="AN161" s="6"/>
      <c r="AO161" s="6"/>
      <c r="AP161" s="6"/>
      <c r="AQ161" s="6"/>
      <c r="AR161" s="6"/>
      <c r="AS161" s="6"/>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row>
    <row r="162" spans="1:77" x14ac:dyDescent="0.2">
      <c r="A162" s="7"/>
      <c r="B162" s="7"/>
      <c r="C162" s="7"/>
      <c r="D162" s="7"/>
      <c r="E162" s="7"/>
      <c r="F162" s="7"/>
      <c r="G162" s="7"/>
      <c r="H162" s="7"/>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6"/>
      <c r="AN162" s="6"/>
      <c r="AO162" s="6"/>
      <c r="AP162" s="6"/>
      <c r="AQ162" s="6"/>
      <c r="AR162" s="6"/>
      <c r="AS162" s="6"/>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row>
    <row r="163" spans="1:77" x14ac:dyDescent="0.2">
      <c r="A163" s="7"/>
      <c r="B163" s="7"/>
      <c r="C163" s="7"/>
      <c r="D163" s="7"/>
      <c r="E163" s="7"/>
      <c r="F163" s="7"/>
      <c r="G163" s="7"/>
      <c r="H163" s="7"/>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6"/>
      <c r="AN163" s="6"/>
      <c r="AO163" s="6"/>
      <c r="AP163" s="6"/>
      <c r="AQ163" s="6"/>
      <c r="AR163" s="6"/>
      <c r="AS163" s="6"/>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row>
    <row r="164" spans="1:77" x14ac:dyDescent="0.2">
      <c r="A164" s="7"/>
      <c r="B164" s="7"/>
      <c r="C164" s="7"/>
      <c r="D164" s="7"/>
      <c r="E164" s="7"/>
      <c r="F164" s="7"/>
      <c r="G164" s="7"/>
      <c r="H164" s="7"/>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6"/>
      <c r="AN164" s="6"/>
      <c r="AO164" s="6"/>
      <c r="AP164" s="6"/>
      <c r="AQ164" s="6"/>
      <c r="AR164" s="6"/>
      <c r="AS164" s="6"/>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row>
    <row r="165" spans="1:77" x14ac:dyDescent="0.2">
      <c r="A165" s="7"/>
      <c r="B165" s="7"/>
      <c r="C165" s="7"/>
      <c r="D165" s="7"/>
      <c r="E165" s="7"/>
      <c r="F165" s="7"/>
      <c r="G165" s="7"/>
      <c r="H165" s="7"/>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6"/>
      <c r="AN165" s="6"/>
      <c r="AO165" s="6"/>
      <c r="AP165" s="6"/>
      <c r="AQ165" s="6"/>
      <c r="AR165" s="6"/>
      <c r="AS165" s="6"/>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row>
    <row r="166" spans="1:77" x14ac:dyDescent="0.2">
      <c r="A166" s="7"/>
      <c r="B166" s="7"/>
      <c r="C166" s="7"/>
      <c r="D166" s="7"/>
      <c r="E166" s="7"/>
      <c r="F166" s="7"/>
      <c r="G166" s="7"/>
      <c r="H166" s="7"/>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6"/>
      <c r="AN166" s="6"/>
      <c r="AO166" s="6"/>
      <c r="AP166" s="6"/>
      <c r="AQ166" s="6"/>
      <c r="AR166" s="6"/>
      <c r="AS166" s="6"/>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row>
    <row r="167" spans="1:77" x14ac:dyDescent="0.2">
      <c r="A167" s="7"/>
      <c r="B167" s="7"/>
      <c r="C167" s="7"/>
      <c r="D167" s="7"/>
      <c r="E167" s="7"/>
      <c r="F167" s="7"/>
      <c r="G167" s="7"/>
      <c r="H167" s="7"/>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6"/>
      <c r="AN167" s="6"/>
      <c r="AO167" s="6"/>
      <c r="AP167" s="6"/>
      <c r="AQ167" s="6"/>
      <c r="AR167" s="6"/>
      <c r="AS167" s="6"/>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row>
    <row r="168" spans="1:77" x14ac:dyDescent="0.2">
      <c r="A168" s="7"/>
      <c r="B168" s="7"/>
      <c r="C168" s="7"/>
      <c r="D168" s="7"/>
      <c r="E168" s="7"/>
      <c r="F168" s="7"/>
      <c r="G168" s="7"/>
      <c r="H168" s="7"/>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6"/>
      <c r="AN168" s="6"/>
      <c r="AO168" s="6"/>
      <c r="AP168" s="6"/>
      <c r="AQ168" s="6"/>
      <c r="AR168" s="6"/>
      <c r="AS168" s="6"/>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row>
    <row r="169" spans="1:77" x14ac:dyDescent="0.2">
      <c r="A169" s="7"/>
      <c r="B169" s="7"/>
      <c r="C169" s="7"/>
      <c r="D169" s="7"/>
      <c r="E169" s="7"/>
      <c r="F169" s="7"/>
      <c r="G169" s="7"/>
      <c r="H169" s="7"/>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6"/>
      <c r="AN169" s="6"/>
      <c r="AO169" s="6"/>
      <c r="AP169" s="6"/>
      <c r="AQ169" s="6"/>
      <c r="AR169" s="6"/>
      <c r="AS169" s="6"/>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row>
    <row r="170" spans="1:77" x14ac:dyDescent="0.2">
      <c r="A170" s="7"/>
      <c r="B170" s="7"/>
      <c r="C170" s="7"/>
      <c r="D170" s="7"/>
      <c r="E170" s="7"/>
      <c r="F170" s="7"/>
      <c r="G170" s="7"/>
      <c r="H170" s="7"/>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6"/>
      <c r="AN170" s="6"/>
      <c r="AO170" s="6"/>
      <c r="AP170" s="6"/>
      <c r="AQ170" s="6"/>
      <c r="AR170" s="6"/>
      <c r="AS170" s="6"/>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row>
    <row r="171" spans="1:77" x14ac:dyDescent="0.2">
      <c r="A171" s="7"/>
      <c r="B171" s="7"/>
      <c r="C171" s="7"/>
      <c r="D171" s="7"/>
      <c r="E171" s="7"/>
      <c r="F171" s="7"/>
      <c r="G171" s="7"/>
      <c r="H171" s="7"/>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6"/>
      <c r="AN171" s="6"/>
      <c r="AO171" s="6"/>
      <c r="AP171" s="6"/>
      <c r="AQ171" s="6"/>
      <c r="AR171" s="6"/>
      <c r="AS171" s="6"/>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row>
    <row r="172" spans="1:77" x14ac:dyDescent="0.2">
      <c r="A172" s="7"/>
      <c r="B172" s="7"/>
      <c r="C172" s="7"/>
      <c r="D172" s="7"/>
      <c r="E172" s="7"/>
      <c r="F172" s="7"/>
      <c r="G172" s="7"/>
      <c r="H172" s="7"/>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6"/>
      <c r="AN172" s="6"/>
      <c r="AO172" s="6"/>
      <c r="AP172" s="6"/>
      <c r="AQ172" s="6"/>
      <c r="AR172" s="6"/>
      <c r="AS172" s="6"/>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row>
    <row r="173" spans="1:77" x14ac:dyDescent="0.2">
      <c r="A173" s="7"/>
      <c r="B173" s="7"/>
      <c r="C173" s="7"/>
      <c r="D173" s="7"/>
      <c r="E173" s="7"/>
      <c r="F173" s="7"/>
      <c r="G173" s="7"/>
      <c r="H173" s="7"/>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6"/>
      <c r="AN173" s="6"/>
      <c r="AO173" s="6"/>
      <c r="AP173" s="6"/>
      <c r="AQ173" s="6"/>
      <c r="AR173" s="6"/>
      <c r="AS173" s="6"/>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row>
    <row r="174" spans="1:77" x14ac:dyDescent="0.2">
      <c r="A174" s="7"/>
      <c r="B174" s="7"/>
      <c r="C174" s="7"/>
      <c r="D174" s="7"/>
      <c r="E174" s="7"/>
      <c r="F174" s="7"/>
      <c r="G174" s="7"/>
      <c r="H174" s="7"/>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6"/>
      <c r="AN174" s="6"/>
      <c r="AO174" s="6"/>
      <c r="AP174" s="6"/>
      <c r="AQ174" s="6"/>
      <c r="AR174" s="6"/>
      <c r="AS174" s="6"/>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row>
    <row r="175" spans="1:77" x14ac:dyDescent="0.2">
      <c r="A175" s="7"/>
      <c r="B175" s="7"/>
      <c r="C175" s="7"/>
      <c r="D175" s="7"/>
      <c r="E175" s="7"/>
      <c r="F175" s="7"/>
      <c r="G175" s="7"/>
      <c r="H175" s="7"/>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6"/>
      <c r="AN175" s="6"/>
      <c r="AO175" s="6"/>
      <c r="AP175" s="6"/>
      <c r="AQ175" s="6"/>
      <c r="AR175" s="6"/>
      <c r="AS175" s="6"/>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row>
    <row r="176" spans="1:77" x14ac:dyDescent="0.2">
      <c r="A176" s="7"/>
      <c r="B176" s="7"/>
      <c r="C176" s="7"/>
      <c r="D176" s="7"/>
      <c r="E176" s="7"/>
      <c r="F176" s="7"/>
      <c r="G176" s="7"/>
      <c r="H176" s="7"/>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6"/>
      <c r="AN176" s="6"/>
      <c r="AO176" s="6"/>
      <c r="AP176" s="6"/>
      <c r="AQ176" s="6"/>
      <c r="AR176" s="6"/>
      <c r="AS176" s="6"/>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row>
    <row r="177" spans="1:77" x14ac:dyDescent="0.2">
      <c r="A177" s="7"/>
      <c r="B177" s="7"/>
      <c r="C177" s="7"/>
      <c r="D177" s="7"/>
      <c r="E177" s="7"/>
      <c r="F177" s="7"/>
      <c r="G177" s="7"/>
      <c r="H177" s="7"/>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6"/>
      <c r="AN177" s="6"/>
      <c r="AO177" s="6"/>
      <c r="AP177" s="6"/>
      <c r="AQ177" s="6"/>
      <c r="AR177" s="6"/>
      <c r="AS177" s="6"/>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row>
    <row r="178" spans="1:77" x14ac:dyDescent="0.2">
      <c r="A178" s="7"/>
      <c r="B178" s="7"/>
      <c r="C178" s="7"/>
      <c r="D178" s="7"/>
      <c r="E178" s="7"/>
      <c r="F178" s="7"/>
      <c r="G178" s="7"/>
      <c r="H178" s="7"/>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6"/>
      <c r="AN178" s="6"/>
      <c r="AO178" s="6"/>
      <c r="AP178" s="6"/>
      <c r="AQ178" s="6"/>
      <c r="AR178" s="6"/>
      <c r="AS178" s="6"/>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row>
    <row r="179" spans="1:77" x14ac:dyDescent="0.2">
      <c r="A179" s="7"/>
      <c r="B179" s="7"/>
      <c r="C179" s="7"/>
      <c r="D179" s="7"/>
      <c r="E179" s="7"/>
      <c r="F179" s="7"/>
      <c r="G179" s="7"/>
      <c r="H179" s="7"/>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6"/>
      <c r="AN179" s="6"/>
      <c r="AO179" s="6"/>
      <c r="AP179" s="6"/>
      <c r="AQ179" s="6"/>
      <c r="AR179" s="6"/>
      <c r="AS179" s="6"/>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row>
    <row r="180" spans="1:77" x14ac:dyDescent="0.2">
      <c r="A180" s="7"/>
      <c r="B180" s="7"/>
      <c r="C180" s="7"/>
      <c r="D180" s="7"/>
      <c r="E180" s="7"/>
      <c r="F180" s="7"/>
      <c r="G180" s="7"/>
      <c r="H180" s="7"/>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6"/>
      <c r="AN180" s="6"/>
      <c r="AO180" s="6"/>
      <c r="AP180" s="6"/>
      <c r="AQ180" s="6"/>
      <c r="AR180" s="6"/>
      <c r="AS180" s="6"/>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row>
    <row r="181" spans="1:77" x14ac:dyDescent="0.2">
      <c r="A181" s="7"/>
      <c r="B181" s="7"/>
      <c r="C181" s="7"/>
      <c r="D181" s="7"/>
      <c r="E181" s="7"/>
      <c r="F181" s="7"/>
      <c r="G181" s="7"/>
      <c r="H181" s="7"/>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6"/>
      <c r="AN181" s="6"/>
      <c r="AO181" s="6"/>
      <c r="AP181" s="6"/>
      <c r="AQ181" s="6"/>
      <c r="AR181" s="6"/>
      <c r="AS181" s="6"/>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row>
    <row r="182" spans="1:77" x14ac:dyDescent="0.2">
      <c r="A182" s="7"/>
      <c r="B182" s="7"/>
      <c r="C182" s="7"/>
      <c r="D182" s="7"/>
      <c r="E182" s="7"/>
      <c r="F182" s="7"/>
      <c r="G182" s="7"/>
      <c r="H182" s="7"/>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6"/>
      <c r="AN182" s="6"/>
      <c r="AO182" s="6"/>
      <c r="AP182" s="6"/>
      <c r="AQ182" s="6"/>
      <c r="AR182" s="6"/>
      <c r="AS182" s="6"/>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row>
    <row r="183" spans="1:77" x14ac:dyDescent="0.2">
      <c r="A183" s="7"/>
      <c r="B183" s="7"/>
      <c r="C183" s="7"/>
      <c r="D183" s="7"/>
      <c r="E183" s="7"/>
      <c r="F183" s="7"/>
      <c r="G183" s="7"/>
      <c r="H183" s="7"/>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6"/>
      <c r="AN183" s="6"/>
      <c r="AO183" s="6"/>
      <c r="AP183" s="6"/>
      <c r="AQ183" s="6"/>
      <c r="AR183" s="6"/>
      <c r="AS183" s="6"/>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row>
    <row r="184" spans="1:77" x14ac:dyDescent="0.2">
      <c r="A184" s="7"/>
      <c r="B184" s="7"/>
      <c r="C184" s="7"/>
      <c r="D184" s="7"/>
      <c r="E184" s="7"/>
      <c r="F184" s="7"/>
      <c r="G184" s="7"/>
      <c r="H184" s="7"/>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6"/>
      <c r="AN184" s="6"/>
      <c r="AO184" s="6"/>
      <c r="AP184" s="6"/>
      <c r="AQ184" s="6"/>
      <c r="AR184" s="6"/>
      <c r="AS184" s="6"/>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row>
    <row r="185" spans="1:77" x14ac:dyDescent="0.2">
      <c r="A185" s="7"/>
      <c r="B185" s="7"/>
      <c r="C185" s="7"/>
      <c r="D185" s="7"/>
      <c r="E185" s="7"/>
      <c r="F185" s="7"/>
      <c r="G185" s="7"/>
      <c r="H185" s="7"/>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6"/>
      <c r="AN185" s="6"/>
      <c r="AO185" s="6"/>
      <c r="AP185" s="6"/>
      <c r="AQ185" s="6"/>
      <c r="AR185" s="6"/>
      <c r="AS185" s="6"/>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row>
    <row r="186" spans="1:77" x14ac:dyDescent="0.2">
      <c r="A186" s="7"/>
      <c r="B186" s="7"/>
      <c r="C186" s="7"/>
      <c r="D186" s="7"/>
      <c r="E186" s="7"/>
      <c r="F186" s="7"/>
      <c r="G186" s="7"/>
      <c r="H186" s="7"/>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6"/>
      <c r="AN186" s="6"/>
      <c r="AO186" s="6"/>
      <c r="AP186" s="6"/>
      <c r="AQ186" s="6"/>
      <c r="AR186" s="6"/>
      <c r="AS186" s="6"/>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row>
    <row r="187" spans="1:77" x14ac:dyDescent="0.2">
      <c r="A187" s="7"/>
      <c r="B187" s="7"/>
      <c r="C187" s="7"/>
      <c r="D187" s="7"/>
      <c r="E187" s="7"/>
      <c r="F187" s="7"/>
      <c r="G187" s="7"/>
      <c r="H187" s="7"/>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6"/>
      <c r="AN187" s="6"/>
      <c r="AO187" s="6"/>
      <c r="AP187" s="6"/>
      <c r="AQ187" s="6"/>
      <c r="AR187" s="6"/>
      <c r="AS187" s="6"/>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row>
    <row r="188" spans="1:77" x14ac:dyDescent="0.2">
      <c r="A188" s="7"/>
      <c r="B188" s="7"/>
      <c r="C188" s="7"/>
      <c r="D188" s="7"/>
      <c r="E188" s="7"/>
      <c r="F188" s="7"/>
      <c r="G188" s="7"/>
      <c r="H188" s="7"/>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6"/>
      <c r="AN188" s="6"/>
      <c r="AO188" s="6"/>
      <c r="AP188" s="6"/>
      <c r="AQ188" s="6"/>
      <c r="AR188" s="6"/>
      <c r="AS188" s="6"/>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row>
    <row r="189" spans="1:77" x14ac:dyDescent="0.2">
      <c r="A189" s="7"/>
      <c r="B189" s="7"/>
      <c r="C189" s="7"/>
      <c r="D189" s="7"/>
      <c r="E189" s="7"/>
      <c r="F189" s="7"/>
      <c r="G189" s="7"/>
      <c r="H189" s="7"/>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6"/>
      <c r="AN189" s="6"/>
      <c r="AO189" s="6"/>
      <c r="AP189" s="6"/>
      <c r="AQ189" s="6"/>
      <c r="AR189" s="6"/>
      <c r="AS189" s="6"/>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row>
    <row r="190" spans="1:77" x14ac:dyDescent="0.2">
      <c r="A190" s="7"/>
      <c r="B190" s="7"/>
      <c r="C190" s="7"/>
      <c r="D190" s="7"/>
      <c r="E190" s="7"/>
      <c r="F190" s="7"/>
      <c r="G190" s="7"/>
      <c r="H190" s="7"/>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6"/>
      <c r="AN190" s="6"/>
      <c r="AO190" s="6"/>
      <c r="AP190" s="6"/>
      <c r="AQ190" s="6"/>
      <c r="AR190" s="6"/>
      <c r="AS190" s="6"/>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row>
    <row r="191" spans="1:77" x14ac:dyDescent="0.2">
      <c r="A191" s="7"/>
      <c r="B191" s="7"/>
      <c r="C191" s="7"/>
      <c r="D191" s="7"/>
      <c r="E191" s="7"/>
      <c r="F191" s="7"/>
      <c r="G191" s="7"/>
      <c r="H191" s="7"/>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6"/>
      <c r="AN191" s="6"/>
      <c r="AO191" s="6"/>
      <c r="AP191" s="6"/>
      <c r="AQ191" s="6"/>
      <c r="AR191" s="6"/>
      <c r="AS191" s="6"/>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row>
    <row r="192" spans="1:77" x14ac:dyDescent="0.2">
      <c r="A192" s="7"/>
      <c r="B192" s="7"/>
      <c r="C192" s="7"/>
      <c r="D192" s="7"/>
      <c r="E192" s="7"/>
      <c r="F192" s="7"/>
      <c r="G192" s="7"/>
      <c r="H192" s="7"/>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6"/>
      <c r="AN192" s="6"/>
      <c r="AO192" s="6"/>
      <c r="AP192" s="6"/>
      <c r="AQ192" s="6"/>
      <c r="AR192" s="6"/>
      <c r="AS192" s="6"/>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row>
    <row r="193" spans="1:77" x14ac:dyDescent="0.2">
      <c r="A193" s="7"/>
      <c r="B193" s="7"/>
      <c r="C193" s="7"/>
      <c r="D193" s="7"/>
      <c r="E193" s="7"/>
      <c r="F193" s="7"/>
      <c r="G193" s="7"/>
      <c r="H193" s="7"/>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6"/>
      <c r="AN193" s="6"/>
      <c r="AO193" s="6"/>
      <c r="AP193" s="6"/>
      <c r="AQ193" s="6"/>
      <c r="AR193" s="6"/>
      <c r="AS193" s="6"/>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row>
    <row r="194" spans="1:77" x14ac:dyDescent="0.2">
      <c r="A194" s="7"/>
      <c r="B194" s="7"/>
      <c r="C194" s="7"/>
      <c r="D194" s="7"/>
      <c r="E194" s="7"/>
      <c r="F194" s="7"/>
      <c r="G194" s="7"/>
      <c r="H194" s="7"/>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6"/>
      <c r="AN194" s="6"/>
      <c r="AO194" s="6"/>
      <c r="AP194" s="6"/>
      <c r="AQ194" s="6"/>
      <c r="AR194" s="6"/>
      <c r="AS194" s="6"/>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row>
    <row r="195" spans="1:77" x14ac:dyDescent="0.2">
      <c r="A195" s="7"/>
      <c r="B195" s="7"/>
      <c r="C195" s="7"/>
      <c r="D195" s="7"/>
      <c r="E195" s="7"/>
      <c r="F195" s="7"/>
      <c r="G195" s="7"/>
      <c r="H195" s="7"/>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6"/>
      <c r="AN195" s="6"/>
      <c r="AO195" s="6"/>
      <c r="AP195" s="6"/>
      <c r="AQ195" s="6"/>
      <c r="AR195" s="6"/>
      <c r="AS195" s="6"/>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row>
    <row r="196" spans="1:77" x14ac:dyDescent="0.2">
      <c r="A196" s="7"/>
      <c r="B196" s="7"/>
      <c r="C196" s="7"/>
      <c r="D196" s="7"/>
      <c r="E196" s="7"/>
      <c r="F196" s="7"/>
      <c r="G196" s="7"/>
      <c r="H196" s="7"/>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6"/>
      <c r="AN196" s="6"/>
      <c r="AO196" s="6"/>
      <c r="AP196" s="6"/>
      <c r="AQ196" s="6"/>
      <c r="AR196" s="6"/>
      <c r="AS196" s="6"/>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row>
    <row r="197" spans="1:77" x14ac:dyDescent="0.2">
      <c r="A197" s="7"/>
      <c r="B197" s="7"/>
      <c r="C197" s="7"/>
      <c r="D197" s="7"/>
      <c r="E197" s="7"/>
      <c r="F197" s="7"/>
      <c r="G197" s="7"/>
      <c r="H197" s="7"/>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6"/>
      <c r="AN197" s="6"/>
      <c r="AO197" s="6"/>
      <c r="AP197" s="6"/>
      <c r="AQ197" s="6"/>
      <c r="AR197" s="6"/>
      <c r="AS197" s="6"/>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row>
    <row r="198" spans="1:77" x14ac:dyDescent="0.2">
      <c r="A198" s="7"/>
      <c r="B198" s="7"/>
      <c r="C198" s="7"/>
      <c r="D198" s="7"/>
      <c r="E198" s="7"/>
      <c r="F198" s="7"/>
      <c r="G198" s="7"/>
      <c r="H198" s="7"/>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6"/>
      <c r="AN198" s="6"/>
      <c r="AO198" s="6"/>
      <c r="AP198" s="6"/>
      <c r="AQ198" s="6"/>
      <c r="AR198" s="6"/>
      <c r="AS198" s="6"/>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row>
    <row r="199" spans="1:77" x14ac:dyDescent="0.2">
      <c r="A199" s="7"/>
      <c r="B199" s="7"/>
      <c r="C199" s="7"/>
      <c r="D199" s="7"/>
      <c r="E199" s="7"/>
      <c r="F199" s="7"/>
      <c r="G199" s="7"/>
      <c r="H199" s="7"/>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6"/>
      <c r="AN199" s="6"/>
      <c r="AO199" s="6"/>
      <c r="AP199" s="6"/>
      <c r="AQ199" s="6"/>
      <c r="AR199" s="6"/>
      <c r="AS199" s="6"/>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row>
    <row r="200" spans="1:77" x14ac:dyDescent="0.2">
      <c r="A200" s="7"/>
      <c r="B200" s="7"/>
      <c r="C200" s="7"/>
      <c r="D200" s="7"/>
      <c r="E200" s="7"/>
      <c r="F200" s="7"/>
      <c r="G200" s="7"/>
      <c r="H200" s="7"/>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6"/>
      <c r="AN200" s="6"/>
      <c r="AO200" s="6"/>
      <c r="AP200" s="6"/>
      <c r="AQ200" s="6"/>
      <c r="AR200" s="6"/>
      <c r="AS200" s="6"/>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row>
    <row r="201" spans="1:77" x14ac:dyDescent="0.2">
      <c r="A201" s="7"/>
      <c r="B201" s="7"/>
      <c r="C201" s="7"/>
      <c r="D201" s="7"/>
      <c r="E201" s="7"/>
      <c r="F201" s="7"/>
      <c r="G201" s="7"/>
      <c r="H201" s="7"/>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6"/>
      <c r="AN201" s="6"/>
      <c r="AO201" s="6"/>
      <c r="AP201" s="6"/>
      <c r="AQ201" s="6"/>
      <c r="AR201" s="6"/>
      <c r="AS201" s="6"/>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row>
    <row r="202" spans="1:77" x14ac:dyDescent="0.2">
      <c r="A202" s="7"/>
      <c r="B202" s="7"/>
      <c r="C202" s="7"/>
      <c r="D202" s="7"/>
      <c r="E202" s="7"/>
      <c r="F202" s="7"/>
      <c r="G202" s="7"/>
      <c r="H202" s="7"/>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6"/>
      <c r="AN202" s="6"/>
      <c r="AO202" s="6"/>
      <c r="AP202" s="6"/>
      <c r="AQ202" s="6"/>
      <c r="AR202" s="6"/>
      <c r="AS202" s="6"/>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row>
    <row r="203" spans="1:77" x14ac:dyDescent="0.2">
      <c r="A203" s="7"/>
      <c r="B203" s="7"/>
      <c r="C203" s="7"/>
      <c r="D203" s="7"/>
      <c r="E203" s="7"/>
      <c r="F203" s="7"/>
      <c r="G203" s="7"/>
      <c r="H203" s="7"/>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6"/>
      <c r="AN203" s="6"/>
      <c r="AO203" s="6"/>
      <c r="AP203" s="6"/>
      <c r="AQ203" s="6"/>
      <c r="AR203" s="6"/>
      <c r="AS203" s="6"/>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row>
    <row r="204" spans="1:77" x14ac:dyDescent="0.2">
      <c r="A204" s="7"/>
      <c r="B204" s="7"/>
      <c r="C204" s="7"/>
      <c r="D204" s="7"/>
      <c r="E204" s="7"/>
      <c r="F204" s="7"/>
      <c r="G204" s="7"/>
      <c r="H204" s="7"/>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6"/>
      <c r="AN204" s="6"/>
      <c r="AO204" s="6"/>
      <c r="AP204" s="6"/>
      <c r="AQ204" s="6"/>
      <c r="AR204" s="6"/>
      <c r="AS204" s="6"/>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row>
    <row r="205" spans="1:77" x14ac:dyDescent="0.2">
      <c r="A205" s="7"/>
      <c r="B205" s="7"/>
      <c r="C205" s="7"/>
      <c r="D205" s="7"/>
      <c r="E205" s="7"/>
      <c r="F205" s="7"/>
      <c r="G205" s="7"/>
      <c r="H205" s="7"/>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6"/>
      <c r="AN205" s="6"/>
      <c r="AO205" s="6"/>
      <c r="AP205" s="6"/>
      <c r="AQ205" s="6"/>
      <c r="AR205" s="6"/>
      <c r="AS205" s="6"/>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row>
    <row r="206" spans="1:77" x14ac:dyDescent="0.2">
      <c r="A206" s="7"/>
      <c r="B206" s="7"/>
      <c r="C206" s="7"/>
      <c r="D206" s="7"/>
      <c r="E206" s="7"/>
      <c r="F206" s="7"/>
      <c r="G206" s="7"/>
      <c r="H206" s="7"/>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6"/>
      <c r="AN206" s="6"/>
      <c r="AO206" s="6"/>
      <c r="AP206" s="6"/>
      <c r="AQ206" s="6"/>
      <c r="AR206" s="6"/>
      <c r="AS206" s="6"/>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row>
    <row r="207" spans="1:77" x14ac:dyDescent="0.2">
      <c r="A207" s="7"/>
      <c r="B207" s="7"/>
      <c r="C207" s="7"/>
      <c r="D207" s="7"/>
      <c r="E207" s="7"/>
      <c r="F207" s="7"/>
      <c r="G207" s="7"/>
      <c r="H207" s="7"/>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6"/>
      <c r="AN207" s="6"/>
      <c r="AO207" s="6"/>
      <c r="AP207" s="6"/>
      <c r="AQ207" s="6"/>
      <c r="AR207" s="6"/>
      <c r="AS207" s="6"/>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row>
    <row r="208" spans="1:77" x14ac:dyDescent="0.2">
      <c r="A208" s="7"/>
      <c r="B208" s="7"/>
      <c r="C208" s="7"/>
      <c r="D208" s="7"/>
      <c r="E208" s="7"/>
      <c r="F208" s="7"/>
      <c r="G208" s="7"/>
      <c r="H208" s="7"/>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6"/>
      <c r="AN208" s="6"/>
      <c r="AO208" s="6"/>
      <c r="AP208" s="6"/>
      <c r="AQ208" s="6"/>
      <c r="AR208" s="6"/>
      <c r="AS208" s="6"/>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row>
    <row r="209" spans="1:77" x14ac:dyDescent="0.2">
      <c r="A209" s="7"/>
      <c r="B209" s="7"/>
      <c r="C209" s="7"/>
      <c r="D209" s="7"/>
      <c r="E209" s="7"/>
      <c r="F209" s="7"/>
      <c r="G209" s="7"/>
      <c r="H209" s="7"/>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6"/>
      <c r="AN209" s="6"/>
      <c r="AO209" s="6"/>
      <c r="AP209" s="6"/>
      <c r="AQ209" s="6"/>
      <c r="AR209" s="6"/>
      <c r="AS209" s="6"/>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row>
    <row r="210" spans="1:77" x14ac:dyDescent="0.2">
      <c r="A210" s="7"/>
      <c r="B210" s="7"/>
      <c r="C210" s="7"/>
      <c r="D210" s="7"/>
      <c r="E210" s="7"/>
      <c r="F210" s="7"/>
      <c r="G210" s="7"/>
      <c r="H210" s="7"/>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6"/>
      <c r="AN210" s="6"/>
      <c r="AO210" s="6"/>
      <c r="AP210" s="6"/>
      <c r="AQ210" s="6"/>
      <c r="AR210" s="6"/>
      <c r="AS210" s="6"/>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row>
    <row r="211" spans="1:77" x14ac:dyDescent="0.2">
      <c r="A211" s="7"/>
      <c r="B211" s="7"/>
      <c r="C211" s="7"/>
      <c r="D211" s="7"/>
      <c r="E211" s="7"/>
      <c r="F211" s="7"/>
      <c r="G211" s="7"/>
      <c r="H211" s="7"/>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6"/>
      <c r="AN211" s="6"/>
      <c r="AO211" s="6"/>
      <c r="AP211" s="6"/>
      <c r="AQ211" s="6"/>
      <c r="AR211" s="6"/>
      <c r="AS211" s="6"/>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row>
    <row r="212" spans="1:77" x14ac:dyDescent="0.2">
      <c r="A212" s="7"/>
      <c r="B212" s="7"/>
      <c r="C212" s="7"/>
      <c r="D212" s="7"/>
      <c r="E212" s="7"/>
      <c r="F212" s="7"/>
      <c r="G212" s="7"/>
      <c r="H212" s="7"/>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6"/>
      <c r="AN212" s="6"/>
      <c r="AO212" s="6"/>
      <c r="AP212" s="6"/>
      <c r="AQ212" s="6"/>
      <c r="AR212" s="6"/>
      <c r="AS212" s="6"/>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row>
    <row r="213" spans="1:77" x14ac:dyDescent="0.2">
      <c r="A213" s="7"/>
      <c r="B213" s="7"/>
      <c r="C213" s="7"/>
      <c r="D213" s="7"/>
      <c r="E213" s="7"/>
      <c r="F213" s="7"/>
      <c r="G213" s="7"/>
      <c r="H213" s="7"/>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6"/>
      <c r="AN213" s="6"/>
      <c r="AO213" s="6"/>
      <c r="AP213" s="6"/>
      <c r="AQ213" s="6"/>
      <c r="AR213" s="6"/>
      <c r="AS213" s="6"/>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row>
    <row r="214" spans="1:77" x14ac:dyDescent="0.2">
      <c r="A214" s="7"/>
      <c r="B214" s="7"/>
      <c r="C214" s="7"/>
      <c r="D214" s="7"/>
      <c r="E214" s="7"/>
      <c r="F214" s="7"/>
      <c r="G214" s="7"/>
      <c r="H214" s="7"/>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6"/>
      <c r="AN214" s="6"/>
      <c r="AO214" s="6"/>
      <c r="AP214" s="6"/>
      <c r="AQ214" s="6"/>
      <c r="AR214" s="6"/>
      <c r="AS214" s="6"/>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row>
    <row r="215" spans="1:77" x14ac:dyDescent="0.2">
      <c r="A215" s="7"/>
      <c r="B215" s="7"/>
      <c r="C215" s="7"/>
      <c r="D215" s="7"/>
      <c r="E215" s="7"/>
      <c r="F215" s="7"/>
      <c r="G215" s="7"/>
      <c r="H215" s="7"/>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6"/>
      <c r="AN215" s="6"/>
      <c r="AO215" s="6"/>
      <c r="AP215" s="6"/>
      <c r="AQ215" s="6"/>
      <c r="AR215" s="6"/>
      <c r="AS215" s="6"/>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row>
    <row r="216" spans="1:77" x14ac:dyDescent="0.2">
      <c r="A216" s="7"/>
      <c r="B216" s="7"/>
      <c r="C216" s="7"/>
      <c r="D216" s="7"/>
      <c r="E216" s="7"/>
      <c r="F216" s="7"/>
      <c r="G216" s="7"/>
      <c r="H216" s="7"/>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6"/>
      <c r="AN216" s="6"/>
      <c r="AO216" s="6"/>
      <c r="AP216" s="6"/>
      <c r="AQ216" s="6"/>
      <c r="AR216" s="6"/>
      <c r="AS216" s="6"/>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row>
    <row r="217" spans="1:77" x14ac:dyDescent="0.2">
      <c r="A217" s="7"/>
      <c r="B217" s="7"/>
      <c r="C217" s="7"/>
      <c r="D217" s="7"/>
      <c r="E217" s="7"/>
      <c r="F217" s="7"/>
      <c r="G217" s="7"/>
      <c r="H217" s="7"/>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6"/>
      <c r="AN217" s="6"/>
      <c r="AO217" s="6"/>
      <c r="AP217" s="6"/>
      <c r="AQ217" s="6"/>
      <c r="AR217" s="6"/>
      <c r="AS217" s="6"/>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row>
    <row r="218" spans="1:77" x14ac:dyDescent="0.2">
      <c r="A218" s="7"/>
      <c r="B218" s="7"/>
      <c r="C218" s="7"/>
      <c r="D218" s="7"/>
      <c r="E218" s="7"/>
      <c r="F218" s="7"/>
      <c r="G218" s="7"/>
      <c r="H218" s="7"/>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6"/>
      <c r="AN218" s="6"/>
      <c r="AO218" s="6"/>
      <c r="AP218" s="6"/>
      <c r="AQ218" s="6"/>
      <c r="AR218" s="6"/>
      <c r="AS218" s="6"/>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row>
    <row r="219" spans="1:77" x14ac:dyDescent="0.2">
      <c r="A219" s="7"/>
      <c r="B219" s="7"/>
      <c r="C219" s="7"/>
      <c r="D219" s="7"/>
      <c r="E219" s="7"/>
      <c r="F219" s="7"/>
      <c r="G219" s="7"/>
      <c r="H219" s="7"/>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6"/>
      <c r="AN219" s="6"/>
      <c r="AO219" s="6"/>
      <c r="AP219" s="6"/>
      <c r="AQ219" s="6"/>
      <c r="AR219" s="6"/>
      <c r="AS219" s="6"/>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row>
    <row r="220" spans="1:77" x14ac:dyDescent="0.2">
      <c r="A220" s="7"/>
      <c r="B220" s="7"/>
      <c r="C220" s="7"/>
      <c r="D220" s="7"/>
      <c r="E220" s="7"/>
      <c r="F220" s="7"/>
      <c r="G220" s="7"/>
      <c r="H220" s="7"/>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6"/>
      <c r="AN220" s="6"/>
      <c r="AO220" s="6"/>
      <c r="AP220" s="6"/>
      <c r="AQ220" s="6"/>
      <c r="AR220" s="6"/>
      <c r="AS220" s="6"/>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row>
    <row r="221" spans="1:77" x14ac:dyDescent="0.2">
      <c r="A221" s="7"/>
      <c r="B221" s="7"/>
      <c r="C221" s="7"/>
      <c r="D221" s="7"/>
      <c r="E221" s="7"/>
      <c r="F221" s="7"/>
      <c r="G221" s="7"/>
      <c r="H221" s="7"/>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6"/>
      <c r="AN221" s="6"/>
      <c r="AO221" s="6"/>
      <c r="AP221" s="6"/>
      <c r="AQ221" s="6"/>
      <c r="AR221" s="6"/>
      <c r="AS221" s="6"/>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row>
    <row r="222" spans="1:77" x14ac:dyDescent="0.2">
      <c r="A222" s="7"/>
      <c r="B222" s="7"/>
      <c r="C222" s="7"/>
      <c r="D222" s="7"/>
      <c r="E222" s="7"/>
      <c r="F222" s="7"/>
      <c r="G222" s="7"/>
      <c r="H222" s="7"/>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6"/>
      <c r="AN222" s="6"/>
      <c r="AO222" s="6"/>
      <c r="AP222" s="6"/>
      <c r="AQ222" s="6"/>
      <c r="AR222" s="6"/>
      <c r="AS222" s="6"/>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row>
    <row r="223" spans="1:77" x14ac:dyDescent="0.2">
      <c r="A223" s="7"/>
      <c r="B223" s="7"/>
      <c r="C223" s="7"/>
      <c r="D223" s="7"/>
      <c r="E223" s="7"/>
      <c r="F223" s="7"/>
      <c r="G223" s="7"/>
      <c r="H223" s="7"/>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6"/>
      <c r="AN223" s="6"/>
      <c r="AO223" s="6"/>
      <c r="AP223" s="6"/>
      <c r="AQ223" s="6"/>
      <c r="AR223" s="6"/>
      <c r="AS223" s="6"/>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row>
    <row r="224" spans="1:77" x14ac:dyDescent="0.2">
      <c r="A224" s="7"/>
      <c r="B224" s="7"/>
      <c r="C224" s="7"/>
      <c r="D224" s="7"/>
      <c r="E224" s="7"/>
      <c r="F224" s="7"/>
      <c r="G224" s="7"/>
      <c r="H224" s="7"/>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6"/>
      <c r="AN224" s="6"/>
      <c r="AO224" s="6"/>
      <c r="AP224" s="6"/>
      <c r="AQ224" s="6"/>
      <c r="AR224" s="6"/>
      <c r="AS224" s="6"/>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row>
    <row r="225" spans="1:77" x14ac:dyDescent="0.2">
      <c r="A225" s="7"/>
      <c r="B225" s="7"/>
      <c r="C225" s="7"/>
      <c r="D225" s="7"/>
      <c r="E225" s="7"/>
      <c r="F225" s="7"/>
      <c r="G225" s="7"/>
      <c r="H225" s="7"/>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6"/>
      <c r="AN225" s="6"/>
      <c r="AO225" s="6"/>
      <c r="AP225" s="6"/>
      <c r="AQ225" s="6"/>
      <c r="AR225" s="6"/>
      <c r="AS225" s="6"/>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row>
    <row r="226" spans="1:77" x14ac:dyDescent="0.2">
      <c r="A226" s="7"/>
      <c r="B226" s="7"/>
      <c r="C226" s="7"/>
      <c r="D226" s="7"/>
      <c r="E226" s="7"/>
      <c r="F226" s="7"/>
      <c r="G226" s="7"/>
      <c r="H226" s="7"/>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6"/>
      <c r="AN226" s="6"/>
      <c r="AO226" s="6"/>
      <c r="AP226" s="6"/>
      <c r="AQ226" s="6"/>
      <c r="AR226" s="6"/>
      <c r="AS226" s="6"/>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row>
    <row r="227" spans="1:77" x14ac:dyDescent="0.2">
      <c r="A227" s="7"/>
      <c r="B227" s="7"/>
      <c r="C227" s="7"/>
      <c r="D227" s="7"/>
      <c r="E227" s="7"/>
      <c r="F227" s="7"/>
      <c r="G227" s="7"/>
      <c r="H227" s="7"/>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6"/>
      <c r="AN227" s="6"/>
      <c r="AO227" s="6"/>
      <c r="AP227" s="6"/>
      <c r="AQ227" s="6"/>
      <c r="AR227" s="6"/>
      <c r="AS227" s="6"/>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row>
    <row r="228" spans="1:77" x14ac:dyDescent="0.2">
      <c r="A228" s="7"/>
      <c r="B228" s="7"/>
      <c r="C228" s="7"/>
      <c r="D228" s="7"/>
      <c r="E228" s="7"/>
      <c r="F228" s="7"/>
      <c r="G228" s="7"/>
      <c r="H228" s="7"/>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6"/>
      <c r="AN228" s="6"/>
      <c r="AO228" s="6"/>
      <c r="AP228" s="6"/>
      <c r="AQ228" s="6"/>
      <c r="AR228" s="6"/>
      <c r="AS228" s="6"/>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row>
    <row r="229" spans="1:77" x14ac:dyDescent="0.2">
      <c r="A229" s="7"/>
      <c r="B229" s="7"/>
      <c r="C229" s="7"/>
      <c r="D229" s="7"/>
      <c r="E229" s="7"/>
      <c r="F229" s="7"/>
      <c r="G229" s="7"/>
      <c r="H229" s="7"/>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6"/>
      <c r="AN229" s="6"/>
      <c r="AO229" s="6"/>
      <c r="AP229" s="6"/>
      <c r="AQ229" s="6"/>
      <c r="AR229" s="6"/>
      <c r="AS229" s="6"/>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row>
    <row r="230" spans="1:77" x14ac:dyDescent="0.2">
      <c r="A230" s="7"/>
      <c r="B230" s="7"/>
      <c r="C230" s="7"/>
      <c r="D230" s="7"/>
      <c r="E230" s="7"/>
      <c r="F230" s="7"/>
      <c r="G230" s="7"/>
      <c r="H230" s="7"/>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6"/>
      <c r="AN230" s="6"/>
      <c r="AO230" s="6"/>
      <c r="AP230" s="6"/>
      <c r="AQ230" s="6"/>
      <c r="AR230" s="6"/>
      <c r="AS230" s="6"/>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row>
    <row r="231" spans="1:77" x14ac:dyDescent="0.2">
      <c r="A231" s="7"/>
      <c r="B231" s="7"/>
      <c r="C231" s="7"/>
      <c r="D231" s="7"/>
      <c r="E231" s="7"/>
      <c r="F231" s="7"/>
      <c r="G231" s="7"/>
      <c r="H231" s="7"/>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6"/>
      <c r="AN231" s="6"/>
      <c r="AO231" s="6"/>
      <c r="AP231" s="6"/>
      <c r="AQ231" s="6"/>
      <c r="AR231" s="6"/>
      <c r="AS231" s="6"/>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row>
    <row r="232" spans="1:77" x14ac:dyDescent="0.2">
      <c r="A232" s="7"/>
      <c r="B232" s="7"/>
      <c r="C232" s="7"/>
      <c r="D232" s="7"/>
      <c r="E232" s="7"/>
      <c r="F232" s="7"/>
      <c r="G232" s="7"/>
      <c r="H232" s="7"/>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6"/>
      <c r="AN232" s="6"/>
      <c r="AO232" s="6"/>
      <c r="AP232" s="6"/>
      <c r="AQ232" s="6"/>
      <c r="AR232" s="6"/>
      <c r="AS232" s="6"/>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row>
    <row r="233" spans="1:77" x14ac:dyDescent="0.2">
      <c r="A233" s="7"/>
      <c r="B233" s="7"/>
      <c r="C233" s="7"/>
      <c r="D233" s="7"/>
      <c r="E233" s="7"/>
      <c r="F233" s="7"/>
      <c r="G233" s="7"/>
      <c r="H233" s="7"/>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6"/>
      <c r="AN233" s="6"/>
      <c r="AO233" s="6"/>
      <c r="AP233" s="6"/>
      <c r="AQ233" s="6"/>
      <c r="AR233" s="6"/>
      <c r="AS233" s="6"/>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row>
    <row r="234" spans="1:77" x14ac:dyDescent="0.2">
      <c r="A234" s="7"/>
      <c r="B234" s="7"/>
      <c r="C234" s="7"/>
      <c r="D234" s="7"/>
      <c r="E234" s="7"/>
      <c r="F234" s="7"/>
      <c r="G234" s="7"/>
      <c r="H234" s="7"/>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6"/>
      <c r="AN234" s="6"/>
      <c r="AO234" s="6"/>
      <c r="AP234" s="6"/>
      <c r="AQ234" s="6"/>
      <c r="AR234" s="6"/>
      <c r="AS234" s="6"/>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row>
    <row r="235" spans="1:77" x14ac:dyDescent="0.2">
      <c r="A235" s="7"/>
      <c r="B235" s="7"/>
      <c r="C235" s="7"/>
      <c r="D235" s="7"/>
      <c r="E235" s="7"/>
      <c r="F235" s="7"/>
      <c r="G235" s="7"/>
      <c r="H235" s="7"/>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6"/>
      <c r="AN235" s="6"/>
      <c r="AO235" s="6"/>
      <c r="AP235" s="6"/>
      <c r="AQ235" s="6"/>
      <c r="AR235" s="6"/>
      <c r="AS235" s="6"/>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row>
    <row r="236" spans="1:77" x14ac:dyDescent="0.2">
      <c r="A236" s="7"/>
      <c r="B236" s="7"/>
      <c r="C236" s="7"/>
      <c r="D236" s="7"/>
      <c r="E236" s="7"/>
      <c r="F236" s="7"/>
      <c r="G236" s="7"/>
      <c r="H236" s="7"/>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6"/>
      <c r="AN236" s="6"/>
      <c r="AO236" s="6"/>
      <c r="AP236" s="6"/>
      <c r="AQ236" s="6"/>
      <c r="AR236" s="6"/>
      <c r="AS236" s="6"/>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row>
    <row r="237" spans="1:77" x14ac:dyDescent="0.2">
      <c r="A237" s="7"/>
      <c r="B237" s="7"/>
      <c r="C237" s="7"/>
      <c r="D237" s="7"/>
      <c r="E237" s="7"/>
      <c r="F237" s="7"/>
      <c r="G237" s="7"/>
      <c r="H237" s="7"/>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6"/>
      <c r="AN237" s="6"/>
      <c r="AO237" s="6"/>
      <c r="AP237" s="6"/>
      <c r="AQ237" s="6"/>
      <c r="AR237" s="6"/>
      <c r="AS237" s="6"/>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row>
    <row r="238" spans="1:77" x14ac:dyDescent="0.2">
      <c r="A238" s="7"/>
      <c r="B238" s="7"/>
      <c r="C238" s="7"/>
      <c r="D238" s="7"/>
      <c r="E238" s="7"/>
      <c r="F238" s="7"/>
      <c r="G238" s="7"/>
      <c r="H238" s="7"/>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6"/>
      <c r="AN238" s="6"/>
      <c r="AO238" s="6"/>
      <c r="AP238" s="6"/>
      <c r="AQ238" s="6"/>
      <c r="AR238" s="6"/>
      <c r="AS238" s="6"/>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row>
    <row r="239" spans="1:77" x14ac:dyDescent="0.2">
      <c r="A239" s="7"/>
      <c r="B239" s="7"/>
      <c r="C239" s="7"/>
      <c r="D239" s="7"/>
      <c r="E239" s="7"/>
      <c r="F239" s="7"/>
      <c r="G239" s="7"/>
      <c r="H239" s="7"/>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6"/>
      <c r="AN239" s="6"/>
      <c r="AO239" s="6"/>
      <c r="AP239" s="6"/>
      <c r="AQ239" s="6"/>
      <c r="AR239" s="6"/>
      <c r="AS239" s="6"/>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row>
    <row r="240" spans="1:77" x14ac:dyDescent="0.2">
      <c r="A240" s="7"/>
      <c r="B240" s="7"/>
      <c r="C240" s="7"/>
      <c r="D240" s="7"/>
      <c r="E240" s="7"/>
      <c r="F240" s="7"/>
      <c r="G240" s="7"/>
      <c r="H240" s="7"/>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6"/>
      <c r="AN240" s="6"/>
      <c r="AO240" s="6"/>
      <c r="AP240" s="6"/>
      <c r="AQ240" s="6"/>
      <c r="AR240" s="6"/>
      <c r="AS240" s="6"/>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row>
    <row r="241" spans="1:77" x14ac:dyDescent="0.2">
      <c r="A241" s="7"/>
      <c r="B241" s="7"/>
      <c r="C241" s="7"/>
      <c r="D241" s="7"/>
      <c r="E241" s="7"/>
      <c r="F241" s="7"/>
      <c r="G241" s="7"/>
      <c r="H241" s="7"/>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6"/>
      <c r="AN241" s="6"/>
      <c r="AO241" s="6"/>
      <c r="AP241" s="6"/>
      <c r="AQ241" s="6"/>
      <c r="AR241" s="6"/>
      <c r="AS241" s="6"/>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row>
    <row r="242" spans="1:77" x14ac:dyDescent="0.2">
      <c r="A242" s="7"/>
      <c r="B242" s="7"/>
      <c r="C242" s="7"/>
      <c r="D242" s="7"/>
      <c r="E242" s="7"/>
      <c r="F242" s="7"/>
      <c r="G242" s="7"/>
      <c r="H242" s="7"/>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6"/>
      <c r="AN242" s="6"/>
      <c r="AO242" s="6"/>
      <c r="AP242" s="6"/>
      <c r="AQ242" s="6"/>
      <c r="AR242" s="6"/>
      <c r="AS242" s="6"/>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row>
    <row r="243" spans="1:77" x14ac:dyDescent="0.2">
      <c r="A243" s="7"/>
      <c r="B243" s="7"/>
      <c r="C243" s="7"/>
      <c r="D243" s="7"/>
      <c r="E243" s="7"/>
      <c r="F243" s="7"/>
      <c r="G243" s="7"/>
      <c r="H243" s="7"/>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6"/>
      <c r="AN243" s="6"/>
      <c r="AO243" s="6"/>
      <c r="AP243" s="6"/>
      <c r="AQ243" s="6"/>
      <c r="AR243" s="6"/>
      <c r="AS243" s="6"/>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row>
    <row r="244" spans="1:77" x14ac:dyDescent="0.2">
      <c r="A244" s="7"/>
      <c r="B244" s="7"/>
      <c r="C244" s="7"/>
      <c r="D244" s="7"/>
      <c r="E244" s="7"/>
      <c r="F244" s="7"/>
      <c r="G244" s="7"/>
      <c r="H244" s="7"/>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6"/>
      <c r="AN244" s="6"/>
      <c r="AO244" s="6"/>
      <c r="AP244" s="6"/>
      <c r="AQ244" s="6"/>
      <c r="AR244" s="6"/>
      <c r="AS244" s="6"/>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row>
    <row r="245" spans="1:77" x14ac:dyDescent="0.2">
      <c r="A245" s="7"/>
      <c r="B245" s="7"/>
      <c r="C245" s="7"/>
      <c r="D245" s="7"/>
      <c r="E245" s="7"/>
      <c r="F245" s="7"/>
      <c r="G245" s="7"/>
      <c r="H245" s="7"/>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6"/>
      <c r="AN245" s="6"/>
      <c r="AO245" s="6"/>
      <c r="AP245" s="6"/>
      <c r="AQ245" s="6"/>
      <c r="AR245" s="6"/>
      <c r="AS245" s="6"/>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row>
    <row r="246" spans="1:77" x14ac:dyDescent="0.2">
      <c r="A246" s="7"/>
      <c r="B246" s="7"/>
      <c r="C246" s="7"/>
      <c r="D246" s="7"/>
      <c r="E246" s="7"/>
      <c r="F246" s="7"/>
      <c r="G246" s="7"/>
      <c r="H246" s="7"/>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6"/>
      <c r="AN246" s="6"/>
      <c r="AO246" s="6"/>
      <c r="AP246" s="6"/>
      <c r="AQ246" s="6"/>
      <c r="AR246" s="6"/>
      <c r="AS246" s="6"/>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row>
    <row r="247" spans="1:77" x14ac:dyDescent="0.2">
      <c r="A247" s="7"/>
      <c r="B247" s="7"/>
      <c r="C247" s="7"/>
      <c r="D247" s="7"/>
      <c r="E247" s="7"/>
      <c r="F247" s="7"/>
      <c r="G247" s="7"/>
      <c r="H247" s="7"/>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6"/>
      <c r="AN247" s="6"/>
      <c r="AO247" s="6"/>
      <c r="AP247" s="6"/>
      <c r="AQ247" s="6"/>
      <c r="AR247" s="6"/>
      <c r="AS247" s="6"/>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row>
    <row r="248" spans="1:77" x14ac:dyDescent="0.2">
      <c r="A248" s="7"/>
      <c r="B248" s="7"/>
      <c r="C248" s="7"/>
      <c r="D248" s="7"/>
      <c r="E248" s="7"/>
      <c r="F248" s="7"/>
      <c r="G248" s="7"/>
      <c r="H248" s="7"/>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6"/>
      <c r="AN248" s="6"/>
      <c r="AO248" s="6"/>
      <c r="AP248" s="6"/>
      <c r="AQ248" s="6"/>
      <c r="AR248" s="6"/>
      <c r="AS248" s="6"/>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row>
    <row r="249" spans="1:77" x14ac:dyDescent="0.2">
      <c r="A249" s="7"/>
      <c r="B249" s="7"/>
      <c r="C249" s="7"/>
      <c r="D249" s="7"/>
      <c r="E249" s="7"/>
      <c r="F249" s="7"/>
      <c r="G249" s="7"/>
      <c r="H249" s="7"/>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6"/>
      <c r="AN249" s="6"/>
      <c r="AO249" s="6"/>
      <c r="AP249" s="6"/>
      <c r="AQ249" s="6"/>
      <c r="AR249" s="6"/>
      <c r="AS249" s="6"/>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row>
    <row r="250" spans="1:77" x14ac:dyDescent="0.2">
      <c r="A250" s="7"/>
      <c r="B250" s="7"/>
      <c r="C250" s="7"/>
      <c r="D250" s="7"/>
      <c r="E250" s="7"/>
      <c r="F250" s="7"/>
      <c r="G250" s="7"/>
      <c r="H250" s="7"/>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6"/>
      <c r="AN250" s="6"/>
      <c r="AO250" s="6"/>
      <c r="AP250" s="6"/>
      <c r="AQ250" s="6"/>
      <c r="AR250" s="6"/>
      <c r="AS250" s="6"/>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row>
    <row r="251" spans="1:77" x14ac:dyDescent="0.2">
      <c r="A251" s="7"/>
      <c r="B251" s="7"/>
      <c r="C251" s="7"/>
      <c r="D251" s="7"/>
      <c r="E251" s="7"/>
      <c r="F251" s="7"/>
      <c r="G251" s="7"/>
      <c r="H251" s="7"/>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6"/>
      <c r="AN251" s="6"/>
      <c r="AO251" s="6"/>
      <c r="AP251" s="6"/>
      <c r="AQ251" s="6"/>
      <c r="AR251" s="6"/>
      <c r="AS251" s="6"/>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row>
    <row r="252" spans="1:77" x14ac:dyDescent="0.2">
      <c r="A252" s="7"/>
      <c r="B252" s="7"/>
      <c r="C252" s="7"/>
      <c r="D252" s="7"/>
      <c r="E252" s="7"/>
      <c r="F252" s="7"/>
      <c r="G252" s="7"/>
      <c r="H252" s="7"/>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6"/>
      <c r="AN252" s="6"/>
      <c r="AO252" s="6"/>
      <c r="AP252" s="6"/>
      <c r="AQ252" s="6"/>
      <c r="AR252" s="6"/>
      <c r="AS252" s="6"/>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row>
    <row r="253" spans="1:77" x14ac:dyDescent="0.2">
      <c r="A253" s="7"/>
      <c r="B253" s="7"/>
      <c r="C253" s="7"/>
      <c r="D253" s="7"/>
      <c r="E253" s="7"/>
      <c r="F253" s="7"/>
      <c r="G253" s="7"/>
      <c r="H253" s="7"/>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6"/>
      <c r="AN253" s="6"/>
      <c r="AO253" s="6"/>
      <c r="AP253" s="6"/>
      <c r="AQ253" s="6"/>
      <c r="AR253" s="6"/>
      <c r="AS253" s="6"/>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row>
    <row r="254" spans="1:77" x14ac:dyDescent="0.2">
      <c r="A254" s="7"/>
      <c r="B254" s="7"/>
      <c r="C254" s="7"/>
      <c r="D254" s="7"/>
      <c r="E254" s="7"/>
      <c r="F254" s="7"/>
      <c r="G254" s="7"/>
      <c r="H254" s="7"/>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6"/>
      <c r="AN254" s="6"/>
      <c r="AO254" s="6"/>
      <c r="AP254" s="6"/>
      <c r="AQ254" s="6"/>
      <c r="AR254" s="6"/>
      <c r="AS254" s="6"/>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row>
    <row r="255" spans="1:77" x14ac:dyDescent="0.2">
      <c r="A255" s="7"/>
      <c r="B255" s="7"/>
      <c r="C255" s="7"/>
      <c r="D255" s="7"/>
      <c r="E255" s="7"/>
      <c r="F255" s="7"/>
      <c r="G255" s="7"/>
      <c r="H255" s="7"/>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6"/>
      <c r="AN255" s="6"/>
      <c r="AO255" s="6"/>
      <c r="AP255" s="6"/>
      <c r="AQ255" s="6"/>
      <c r="AR255" s="6"/>
      <c r="AS255" s="6"/>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row>
    <row r="256" spans="1:77" x14ac:dyDescent="0.2">
      <c r="A256" s="7"/>
      <c r="B256" s="7"/>
      <c r="C256" s="7"/>
      <c r="D256" s="7"/>
      <c r="E256" s="7"/>
      <c r="F256" s="7"/>
      <c r="G256" s="7"/>
      <c r="H256" s="7"/>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6"/>
      <c r="AN256" s="6"/>
      <c r="AO256" s="6"/>
      <c r="AP256" s="6"/>
      <c r="AQ256" s="6"/>
      <c r="AR256" s="6"/>
      <c r="AS256" s="6"/>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row>
    <row r="257" spans="1:77" x14ac:dyDescent="0.2">
      <c r="A257" s="7"/>
      <c r="B257" s="7"/>
      <c r="C257" s="7"/>
      <c r="D257" s="7"/>
      <c r="E257" s="7"/>
      <c r="F257" s="7"/>
      <c r="G257" s="7"/>
      <c r="H257" s="7"/>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6"/>
      <c r="AN257" s="6"/>
      <c r="AO257" s="6"/>
      <c r="AP257" s="6"/>
      <c r="AQ257" s="6"/>
      <c r="AR257" s="6"/>
      <c r="AS257" s="6"/>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row>
    <row r="258" spans="1:77" x14ac:dyDescent="0.2">
      <c r="A258" s="7"/>
      <c r="B258" s="7"/>
      <c r="C258" s="7"/>
      <c r="D258" s="7"/>
      <c r="E258" s="7"/>
      <c r="F258" s="7"/>
      <c r="G258" s="7"/>
      <c r="H258" s="7"/>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6"/>
      <c r="AN258" s="6"/>
      <c r="AO258" s="6"/>
      <c r="AP258" s="6"/>
      <c r="AQ258" s="6"/>
      <c r="AR258" s="6"/>
      <c r="AS258" s="6"/>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row>
    <row r="259" spans="1:77" x14ac:dyDescent="0.2">
      <c r="A259" s="7"/>
      <c r="B259" s="7"/>
      <c r="C259" s="7"/>
      <c r="D259" s="7"/>
      <c r="E259" s="7"/>
      <c r="F259" s="7"/>
      <c r="G259" s="7"/>
      <c r="H259" s="7"/>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6"/>
      <c r="AN259" s="6"/>
      <c r="AO259" s="6"/>
      <c r="AP259" s="6"/>
      <c r="AQ259" s="6"/>
      <c r="AR259" s="6"/>
      <c r="AS259" s="6"/>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row>
    <row r="260" spans="1:77" x14ac:dyDescent="0.2">
      <c r="A260" s="7"/>
      <c r="B260" s="7"/>
      <c r="C260" s="7"/>
      <c r="D260" s="7"/>
      <c r="E260" s="7"/>
      <c r="F260" s="7"/>
      <c r="G260" s="7"/>
      <c r="H260" s="7"/>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6"/>
      <c r="AN260" s="6"/>
      <c r="AO260" s="6"/>
      <c r="AP260" s="6"/>
      <c r="AQ260" s="6"/>
      <c r="AR260" s="6"/>
      <c r="AS260" s="6"/>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row>
    <row r="261" spans="1:77" x14ac:dyDescent="0.2">
      <c r="A261" s="7"/>
      <c r="B261" s="7"/>
      <c r="C261" s="7"/>
      <c r="D261" s="7"/>
      <c r="E261" s="7"/>
      <c r="F261" s="7"/>
      <c r="G261" s="7"/>
      <c r="H261" s="7"/>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6"/>
      <c r="AN261" s="6"/>
      <c r="AO261" s="6"/>
      <c r="AP261" s="6"/>
      <c r="AQ261" s="6"/>
      <c r="AR261" s="6"/>
      <c r="AS261" s="6"/>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row>
    <row r="262" spans="1:77" x14ac:dyDescent="0.2">
      <c r="A262" s="7"/>
      <c r="B262" s="7"/>
      <c r="C262" s="7"/>
      <c r="D262" s="7"/>
      <c r="E262" s="7"/>
      <c r="F262" s="7"/>
      <c r="G262" s="7"/>
      <c r="H262" s="7"/>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6"/>
      <c r="AN262" s="6"/>
      <c r="AO262" s="6"/>
      <c r="AP262" s="6"/>
      <c r="AQ262" s="6"/>
      <c r="AR262" s="6"/>
      <c r="AS262" s="6"/>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row>
    <row r="263" spans="1:77" x14ac:dyDescent="0.2">
      <c r="A263" s="7"/>
      <c r="B263" s="7"/>
      <c r="C263" s="7"/>
      <c r="D263" s="7"/>
      <c r="E263" s="7"/>
      <c r="F263" s="7"/>
      <c r="G263" s="7"/>
      <c r="H263" s="7"/>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6"/>
      <c r="AN263" s="6"/>
      <c r="AO263" s="6"/>
      <c r="AP263" s="6"/>
      <c r="AQ263" s="6"/>
      <c r="AR263" s="6"/>
      <c r="AS263" s="6"/>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row>
    <row r="264" spans="1:77" x14ac:dyDescent="0.2">
      <c r="A264" s="7"/>
      <c r="B264" s="7"/>
      <c r="C264" s="7"/>
      <c r="D264" s="7"/>
      <c r="E264" s="7"/>
      <c r="F264" s="7"/>
      <c r="G264" s="7"/>
      <c r="H264" s="7"/>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6"/>
      <c r="AN264" s="6"/>
      <c r="AO264" s="6"/>
      <c r="AP264" s="6"/>
      <c r="AQ264" s="6"/>
      <c r="AR264" s="6"/>
      <c r="AS264" s="6"/>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row>
    <row r="265" spans="1:77" x14ac:dyDescent="0.2">
      <c r="A265" s="7"/>
      <c r="B265" s="7"/>
      <c r="C265" s="7"/>
      <c r="D265" s="7"/>
      <c r="E265" s="7"/>
      <c r="F265" s="7"/>
      <c r="G265" s="7"/>
      <c r="H265" s="7"/>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6"/>
      <c r="AN265" s="6"/>
      <c r="AO265" s="6"/>
      <c r="AP265" s="6"/>
      <c r="AQ265" s="6"/>
      <c r="AR265" s="6"/>
      <c r="AS265" s="6"/>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row>
    <row r="266" spans="1:77" x14ac:dyDescent="0.2">
      <c r="A266" s="7"/>
      <c r="B266" s="7"/>
      <c r="C266" s="7"/>
      <c r="D266" s="7"/>
      <c r="E266" s="7"/>
      <c r="F266" s="7"/>
      <c r="G266" s="7"/>
      <c r="H266" s="7"/>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6"/>
      <c r="AN266" s="6"/>
      <c r="AO266" s="6"/>
      <c r="AP266" s="6"/>
      <c r="AQ266" s="6"/>
      <c r="AR266" s="6"/>
      <c r="AS266" s="6"/>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row>
    <row r="267" spans="1:77" x14ac:dyDescent="0.2">
      <c r="A267" s="7"/>
      <c r="B267" s="7"/>
      <c r="C267" s="7"/>
      <c r="D267" s="7"/>
      <c r="E267" s="7"/>
      <c r="F267" s="7"/>
      <c r="G267" s="7"/>
      <c r="H267" s="7"/>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6"/>
      <c r="AN267" s="6"/>
      <c r="AO267" s="6"/>
      <c r="AP267" s="6"/>
      <c r="AQ267" s="6"/>
      <c r="AR267" s="6"/>
      <c r="AS267" s="6"/>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row>
    <row r="268" spans="1:77" x14ac:dyDescent="0.2">
      <c r="A268" s="7"/>
      <c r="B268" s="7"/>
      <c r="C268" s="7"/>
      <c r="D268" s="7"/>
      <c r="E268" s="7"/>
      <c r="F268" s="7"/>
      <c r="G268" s="7"/>
      <c r="H268" s="7"/>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6"/>
      <c r="AN268" s="6"/>
      <c r="AO268" s="6"/>
      <c r="AP268" s="6"/>
      <c r="AQ268" s="6"/>
      <c r="AR268" s="6"/>
      <c r="AS268" s="6"/>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row>
    <row r="269" spans="1:77" x14ac:dyDescent="0.2">
      <c r="A269" s="7"/>
      <c r="B269" s="7"/>
      <c r="C269" s="7"/>
      <c r="D269" s="7"/>
      <c r="E269" s="7"/>
      <c r="F269" s="7"/>
      <c r="G269" s="7"/>
      <c r="H269" s="7"/>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6"/>
      <c r="AN269" s="6"/>
      <c r="AO269" s="6"/>
      <c r="AP269" s="6"/>
      <c r="AQ269" s="6"/>
      <c r="AR269" s="6"/>
      <c r="AS269" s="6"/>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row>
    <row r="270" spans="1:77" x14ac:dyDescent="0.2">
      <c r="A270" s="7"/>
      <c r="B270" s="7"/>
      <c r="C270" s="7"/>
      <c r="D270" s="7"/>
      <c r="E270" s="7"/>
      <c r="F270" s="7"/>
      <c r="G270" s="7"/>
      <c r="H270" s="7"/>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6"/>
      <c r="AN270" s="6"/>
      <c r="AO270" s="6"/>
      <c r="AP270" s="6"/>
      <c r="AQ270" s="6"/>
      <c r="AR270" s="6"/>
      <c r="AS270" s="6"/>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row>
    <row r="271" spans="1:77" x14ac:dyDescent="0.2">
      <c r="A271" s="7"/>
      <c r="B271" s="7"/>
      <c r="C271" s="7"/>
      <c r="D271" s="7"/>
      <c r="E271" s="7"/>
      <c r="F271" s="7"/>
      <c r="G271" s="7"/>
      <c r="H271" s="7"/>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6"/>
      <c r="AN271" s="6"/>
      <c r="AO271" s="6"/>
      <c r="AP271" s="6"/>
      <c r="AQ271" s="6"/>
      <c r="AR271" s="6"/>
      <c r="AS271" s="6"/>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row>
    <row r="272" spans="1:77" x14ac:dyDescent="0.2">
      <c r="A272" s="7"/>
      <c r="B272" s="7"/>
      <c r="C272" s="7"/>
      <c r="D272" s="7"/>
      <c r="E272" s="7"/>
      <c r="F272" s="7"/>
      <c r="G272" s="7"/>
      <c r="H272" s="7"/>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6"/>
      <c r="AN272" s="6"/>
      <c r="AO272" s="6"/>
      <c r="AP272" s="6"/>
      <c r="AQ272" s="6"/>
      <c r="AR272" s="6"/>
      <c r="AS272" s="6"/>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row>
    <row r="273" spans="1:77" x14ac:dyDescent="0.2">
      <c r="A273" s="7"/>
      <c r="B273" s="7"/>
      <c r="C273" s="7"/>
      <c r="D273" s="7"/>
      <c r="E273" s="7"/>
      <c r="F273" s="7"/>
      <c r="G273" s="7"/>
      <c r="H273" s="7"/>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6"/>
      <c r="AN273" s="6"/>
      <c r="AO273" s="6"/>
      <c r="AP273" s="6"/>
      <c r="AQ273" s="6"/>
      <c r="AR273" s="6"/>
      <c r="AS273" s="6"/>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row>
    <row r="274" spans="1:77" x14ac:dyDescent="0.2">
      <c r="A274" s="7"/>
      <c r="B274" s="7"/>
      <c r="C274" s="7"/>
      <c r="D274" s="7"/>
      <c r="E274" s="7"/>
      <c r="F274" s="7"/>
      <c r="G274" s="7"/>
      <c r="H274" s="7"/>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6"/>
      <c r="AN274" s="6"/>
      <c r="AO274" s="6"/>
      <c r="AP274" s="6"/>
      <c r="AQ274" s="6"/>
      <c r="AR274" s="6"/>
      <c r="AS274" s="6"/>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row>
    <row r="275" spans="1:77" x14ac:dyDescent="0.2">
      <c r="A275" s="7"/>
      <c r="B275" s="7"/>
      <c r="C275" s="7"/>
      <c r="D275" s="7"/>
      <c r="E275" s="7"/>
      <c r="F275" s="7"/>
      <c r="G275" s="7"/>
      <c r="H275" s="7"/>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6"/>
      <c r="AN275" s="6"/>
      <c r="AO275" s="6"/>
      <c r="AP275" s="6"/>
      <c r="AQ275" s="6"/>
      <c r="AR275" s="6"/>
      <c r="AS275" s="6"/>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row>
    <row r="276" spans="1:77" x14ac:dyDescent="0.2">
      <c r="A276" s="7"/>
      <c r="B276" s="7"/>
      <c r="C276" s="7"/>
      <c r="D276" s="7"/>
      <c r="E276" s="7"/>
      <c r="F276" s="7"/>
      <c r="G276" s="7"/>
      <c r="H276" s="7"/>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6"/>
      <c r="AN276" s="6"/>
      <c r="AO276" s="6"/>
      <c r="AP276" s="6"/>
      <c r="AQ276" s="6"/>
      <c r="AR276" s="6"/>
      <c r="AS276" s="6"/>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row>
    <row r="277" spans="1:77" x14ac:dyDescent="0.2">
      <c r="A277" s="7"/>
      <c r="B277" s="7"/>
      <c r="C277" s="7"/>
      <c r="D277" s="7"/>
      <c r="E277" s="7"/>
      <c r="F277" s="7"/>
      <c r="G277" s="7"/>
      <c r="H277" s="7"/>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6"/>
      <c r="AN277" s="6"/>
      <c r="AO277" s="6"/>
      <c r="AP277" s="6"/>
      <c r="AQ277" s="6"/>
      <c r="AR277" s="6"/>
      <c r="AS277" s="6"/>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row>
    <row r="278" spans="1:77" x14ac:dyDescent="0.2">
      <c r="A278" s="7"/>
      <c r="B278" s="7"/>
      <c r="C278" s="7"/>
      <c r="D278" s="7"/>
      <c r="E278" s="7"/>
      <c r="F278" s="7"/>
      <c r="G278" s="7"/>
      <c r="H278" s="7"/>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6"/>
      <c r="AN278" s="6"/>
      <c r="AO278" s="6"/>
      <c r="AP278" s="6"/>
      <c r="AQ278" s="6"/>
      <c r="AR278" s="6"/>
      <c r="AS278" s="6"/>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row>
    <row r="279" spans="1:77" x14ac:dyDescent="0.2">
      <c r="A279" s="7"/>
      <c r="B279" s="7"/>
      <c r="C279" s="7"/>
      <c r="D279" s="7"/>
      <c r="E279" s="7"/>
      <c r="F279" s="7"/>
      <c r="G279" s="7"/>
      <c r="H279" s="7"/>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6"/>
      <c r="AN279" s="6"/>
      <c r="AO279" s="6"/>
      <c r="AP279" s="6"/>
      <c r="AQ279" s="6"/>
      <c r="AR279" s="6"/>
      <c r="AS279" s="6"/>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row>
    <row r="280" spans="1:77" x14ac:dyDescent="0.2">
      <c r="A280" s="7"/>
      <c r="B280" s="7"/>
      <c r="C280" s="7"/>
      <c r="D280" s="7"/>
      <c r="E280" s="7"/>
      <c r="F280" s="7"/>
      <c r="G280" s="7"/>
      <c r="H280" s="7"/>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6"/>
      <c r="AN280" s="6"/>
      <c r="AO280" s="6"/>
      <c r="AP280" s="6"/>
      <c r="AQ280" s="6"/>
      <c r="AR280" s="6"/>
      <c r="AS280" s="6"/>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row>
    <row r="281" spans="1:77" x14ac:dyDescent="0.2">
      <c r="A281" s="7"/>
      <c r="B281" s="7"/>
      <c r="C281" s="7"/>
      <c r="D281" s="7"/>
      <c r="E281" s="7"/>
      <c r="F281" s="7"/>
      <c r="G281" s="7"/>
      <c r="H281" s="7"/>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6"/>
      <c r="AN281" s="6"/>
      <c r="AO281" s="6"/>
      <c r="AP281" s="6"/>
      <c r="AQ281" s="6"/>
      <c r="AR281" s="6"/>
      <c r="AS281" s="6"/>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row>
    <row r="282" spans="1:77" x14ac:dyDescent="0.2">
      <c r="A282" s="7"/>
      <c r="B282" s="7"/>
      <c r="C282" s="7"/>
      <c r="D282" s="7"/>
      <c r="E282" s="7"/>
      <c r="F282" s="7"/>
      <c r="G282" s="7"/>
      <c r="H282" s="7"/>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6"/>
      <c r="AN282" s="6"/>
      <c r="AO282" s="6"/>
      <c r="AP282" s="6"/>
      <c r="AQ282" s="6"/>
      <c r="AR282" s="6"/>
      <c r="AS282" s="6"/>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row>
    <row r="283" spans="1:77" x14ac:dyDescent="0.2">
      <c r="A283" s="7"/>
      <c r="B283" s="7"/>
      <c r="C283" s="7"/>
      <c r="D283" s="7"/>
      <c r="E283" s="7"/>
      <c r="F283" s="7"/>
      <c r="G283" s="7"/>
      <c r="H283" s="7"/>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6"/>
      <c r="AN283" s="6"/>
      <c r="AO283" s="6"/>
      <c r="AP283" s="6"/>
      <c r="AQ283" s="6"/>
      <c r="AR283" s="6"/>
      <c r="AS283" s="6"/>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row>
    <row r="284" spans="1:77" x14ac:dyDescent="0.2">
      <c r="A284" s="7"/>
      <c r="B284" s="7"/>
      <c r="C284" s="7"/>
      <c r="D284" s="7"/>
      <c r="E284" s="7"/>
      <c r="F284" s="7"/>
      <c r="G284" s="7"/>
      <c r="H284" s="7"/>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6"/>
      <c r="AN284" s="6"/>
      <c r="AO284" s="6"/>
      <c r="AP284" s="6"/>
      <c r="AQ284" s="6"/>
      <c r="AR284" s="6"/>
      <c r="AS284" s="6"/>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row>
    <row r="285" spans="1:77" x14ac:dyDescent="0.2">
      <c r="A285" s="7"/>
      <c r="B285" s="7"/>
      <c r="C285" s="7"/>
      <c r="D285" s="7"/>
      <c r="E285" s="7"/>
      <c r="F285" s="7"/>
      <c r="G285" s="7"/>
      <c r="H285" s="7"/>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6"/>
      <c r="AN285" s="6"/>
      <c r="AO285" s="6"/>
      <c r="AP285" s="6"/>
      <c r="AQ285" s="6"/>
      <c r="AR285" s="6"/>
      <c r="AS285" s="6"/>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row>
    <row r="286" spans="1:77" x14ac:dyDescent="0.2">
      <c r="A286" s="7"/>
      <c r="B286" s="7"/>
      <c r="C286" s="7"/>
      <c r="D286" s="7"/>
      <c r="E286" s="7"/>
      <c r="F286" s="7"/>
      <c r="G286" s="7"/>
      <c r="H286" s="7"/>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6"/>
      <c r="AN286" s="6"/>
      <c r="AO286" s="6"/>
      <c r="AP286" s="6"/>
      <c r="AQ286" s="6"/>
      <c r="AR286" s="6"/>
      <c r="AS286" s="6"/>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row>
    <row r="287" spans="1:77" x14ac:dyDescent="0.2">
      <c r="A287" s="7"/>
      <c r="B287" s="7"/>
      <c r="C287" s="7"/>
      <c r="D287" s="7"/>
      <c r="E287" s="7"/>
      <c r="F287" s="7"/>
      <c r="G287" s="7"/>
      <c r="H287" s="7"/>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6"/>
      <c r="AN287" s="6"/>
      <c r="AO287" s="6"/>
      <c r="AP287" s="6"/>
      <c r="AQ287" s="6"/>
      <c r="AR287" s="6"/>
      <c r="AS287" s="6"/>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row>
    <row r="288" spans="1:77" x14ac:dyDescent="0.2">
      <c r="A288" s="7"/>
      <c r="B288" s="7"/>
      <c r="C288" s="7"/>
      <c r="D288" s="7"/>
      <c r="E288" s="7"/>
      <c r="F288" s="7"/>
      <c r="G288" s="7"/>
      <c r="H288" s="7"/>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6"/>
      <c r="AN288" s="6"/>
      <c r="AO288" s="6"/>
      <c r="AP288" s="6"/>
      <c r="AQ288" s="6"/>
      <c r="AR288" s="6"/>
      <c r="AS288" s="6"/>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row>
    <row r="289" spans="1:77" x14ac:dyDescent="0.2">
      <c r="A289" s="7"/>
      <c r="B289" s="7"/>
      <c r="C289" s="7"/>
      <c r="D289" s="7"/>
      <c r="E289" s="7"/>
      <c r="F289" s="7"/>
      <c r="G289" s="7"/>
      <c r="H289" s="7"/>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6"/>
      <c r="AN289" s="6"/>
      <c r="AO289" s="6"/>
      <c r="AP289" s="6"/>
      <c r="AQ289" s="6"/>
      <c r="AR289" s="6"/>
      <c r="AS289" s="6"/>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row>
    <row r="290" spans="1:77" x14ac:dyDescent="0.2">
      <c r="A290" s="7"/>
      <c r="B290" s="7"/>
      <c r="C290" s="7"/>
      <c r="D290" s="7"/>
      <c r="E290" s="7"/>
      <c r="F290" s="7"/>
      <c r="G290" s="7"/>
      <c r="H290" s="7"/>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6"/>
      <c r="AN290" s="6"/>
      <c r="AO290" s="6"/>
      <c r="AP290" s="6"/>
      <c r="AQ290" s="6"/>
      <c r="AR290" s="6"/>
      <c r="AS290" s="6"/>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row>
    <row r="291" spans="1:77" x14ac:dyDescent="0.2">
      <c r="A291" s="7"/>
      <c r="B291" s="7"/>
      <c r="C291" s="7"/>
      <c r="D291" s="7"/>
      <c r="E291" s="7"/>
      <c r="F291" s="7"/>
      <c r="G291" s="7"/>
      <c r="H291" s="7"/>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6"/>
      <c r="AN291" s="6"/>
      <c r="AO291" s="6"/>
      <c r="AP291" s="6"/>
      <c r="AQ291" s="6"/>
      <c r="AR291" s="6"/>
      <c r="AS291" s="6"/>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row>
    <row r="292" spans="1:77" x14ac:dyDescent="0.2">
      <c r="A292" s="7"/>
      <c r="B292" s="7"/>
      <c r="C292" s="7"/>
      <c r="D292" s="7"/>
      <c r="E292" s="7"/>
      <c r="F292" s="7"/>
      <c r="G292" s="7"/>
      <c r="H292" s="7"/>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6"/>
      <c r="AN292" s="6"/>
      <c r="AO292" s="6"/>
      <c r="AP292" s="6"/>
      <c r="AQ292" s="6"/>
      <c r="AR292" s="6"/>
      <c r="AS292" s="6"/>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row>
    <row r="293" spans="1:77" x14ac:dyDescent="0.2">
      <c r="A293" s="7"/>
      <c r="B293" s="7"/>
      <c r="C293" s="7"/>
      <c r="D293" s="7"/>
      <c r="E293" s="7"/>
      <c r="F293" s="7"/>
      <c r="G293" s="7"/>
      <c r="H293" s="7"/>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6"/>
      <c r="AN293" s="6"/>
      <c r="AO293" s="6"/>
      <c r="AP293" s="6"/>
      <c r="AQ293" s="6"/>
      <c r="AR293" s="6"/>
      <c r="AS293" s="6"/>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row>
    <row r="294" spans="1:77" x14ac:dyDescent="0.2">
      <c r="A294" s="7"/>
      <c r="B294" s="7"/>
      <c r="C294" s="7"/>
      <c r="D294" s="7"/>
      <c r="E294" s="7"/>
      <c r="F294" s="7"/>
      <c r="G294" s="7"/>
      <c r="H294" s="7"/>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6"/>
      <c r="AN294" s="6"/>
      <c r="AO294" s="6"/>
      <c r="AP294" s="6"/>
      <c r="AQ294" s="6"/>
      <c r="AR294" s="6"/>
      <c r="AS294" s="6"/>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row>
    <row r="295" spans="1:77" x14ac:dyDescent="0.2">
      <c r="A295" s="7"/>
      <c r="B295" s="7"/>
      <c r="C295" s="7"/>
      <c r="D295" s="7"/>
      <c r="E295" s="7"/>
      <c r="F295" s="7"/>
      <c r="G295" s="7"/>
      <c r="H295" s="7"/>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6"/>
      <c r="AN295" s="6"/>
      <c r="AO295" s="6"/>
      <c r="AP295" s="6"/>
      <c r="AQ295" s="6"/>
      <c r="AR295" s="6"/>
      <c r="AS295" s="6"/>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row>
    <row r="296" spans="1:77" x14ac:dyDescent="0.2">
      <c r="A296" s="7"/>
      <c r="B296" s="7"/>
      <c r="C296" s="7"/>
      <c r="D296" s="7"/>
      <c r="E296" s="7"/>
      <c r="F296" s="7"/>
      <c r="G296" s="7"/>
      <c r="H296" s="7"/>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6"/>
      <c r="AN296" s="6"/>
      <c r="AO296" s="6"/>
      <c r="AP296" s="6"/>
      <c r="AQ296" s="6"/>
      <c r="AR296" s="6"/>
      <c r="AS296" s="6"/>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row>
    <row r="297" spans="1:77" x14ac:dyDescent="0.2">
      <c r="A297" s="7"/>
      <c r="B297" s="7"/>
      <c r="C297" s="7"/>
      <c r="D297" s="7"/>
      <c r="E297" s="7"/>
      <c r="F297" s="7"/>
      <c r="G297" s="7"/>
      <c r="H297" s="7"/>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6"/>
      <c r="AN297" s="6"/>
      <c r="AO297" s="6"/>
      <c r="AP297" s="6"/>
      <c r="AQ297" s="6"/>
      <c r="AR297" s="6"/>
      <c r="AS297" s="6"/>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row>
    <row r="298" spans="1:77" x14ac:dyDescent="0.2">
      <c r="A298" s="7"/>
      <c r="B298" s="7"/>
      <c r="C298" s="7"/>
      <c r="D298" s="7"/>
      <c r="E298" s="7"/>
      <c r="F298" s="7"/>
      <c r="G298" s="7"/>
      <c r="H298" s="7"/>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6"/>
      <c r="AN298" s="6"/>
      <c r="AO298" s="6"/>
      <c r="AP298" s="6"/>
      <c r="AQ298" s="6"/>
      <c r="AR298" s="6"/>
      <c r="AS298" s="6"/>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row>
    <row r="299" spans="1:77" x14ac:dyDescent="0.2">
      <c r="A299" s="7"/>
      <c r="B299" s="7"/>
      <c r="C299" s="7"/>
      <c r="D299" s="7"/>
      <c r="E299" s="7"/>
      <c r="F299" s="7"/>
      <c r="G299" s="7"/>
      <c r="H299" s="7"/>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6"/>
      <c r="AN299" s="6"/>
      <c r="AO299" s="6"/>
      <c r="AP299" s="6"/>
      <c r="AQ299" s="6"/>
      <c r="AR299" s="6"/>
      <c r="AS299" s="6"/>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row>
    <row r="300" spans="1:77" x14ac:dyDescent="0.2">
      <c r="A300" s="7"/>
      <c r="B300" s="7"/>
      <c r="C300" s="7"/>
      <c r="D300" s="7"/>
      <c r="E300" s="7"/>
      <c r="F300" s="7"/>
      <c r="G300" s="7"/>
      <c r="H300" s="7"/>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6"/>
      <c r="AN300" s="6"/>
      <c r="AO300" s="6"/>
      <c r="AP300" s="6"/>
      <c r="AQ300" s="6"/>
      <c r="AR300" s="6"/>
      <c r="AS300" s="6"/>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row>
    <row r="301" spans="1:77" x14ac:dyDescent="0.2">
      <c r="A301" s="7"/>
      <c r="B301" s="7"/>
      <c r="C301" s="7"/>
      <c r="D301" s="7"/>
      <c r="E301" s="7"/>
      <c r="F301" s="7"/>
      <c r="G301" s="7"/>
      <c r="H301" s="7"/>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6"/>
      <c r="AN301" s="6"/>
      <c r="AO301" s="6"/>
      <c r="AP301" s="6"/>
      <c r="AQ301" s="6"/>
      <c r="AR301" s="6"/>
      <c r="AS301" s="6"/>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row>
    <row r="302" spans="1:77" x14ac:dyDescent="0.2">
      <c r="A302" s="7"/>
      <c r="B302" s="7"/>
      <c r="C302" s="7"/>
      <c r="D302" s="7"/>
      <c r="E302" s="7"/>
      <c r="F302" s="7"/>
      <c r="G302" s="7"/>
      <c r="H302" s="7"/>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6"/>
      <c r="AN302" s="6"/>
      <c r="AO302" s="6"/>
      <c r="AP302" s="6"/>
      <c r="AQ302" s="6"/>
      <c r="AR302" s="6"/>
      <c r="AS302" s="6"/>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row>
    <row r="303" spans="1:77" x14ac:dyDescent="0.2">
      <c r="A303" s="7"/>
      <c r="B303" s="7"/>
      <c r="C303" s="7"/>
      <c r="D303" s="7"/>
      <c r="E303" s="7"/>
      <c r="F303" s="7"/>
      <c r="G303" s="7"/>
      <c r="H303" s="7"/>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6"/>
      <c r="AN303" s="6"/>
      <c r="AO303" s="6"/>
      <c r="AP303" s="6"/>
      <c r="AQ303" s="6"/>
      <c r="AR303" s="6"/>
      <c r="AS303" s="6"/>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row>
    <row r="304" spans="1:77" x14ac:dyDescent="0.2">
      <c r="A304" s="7"/>
      <c r="B304" s="7"/>
      <c r="C304" s="7"/>
      <c r="D304" s="7"/>
      <c r="E304" s="7"/>
      <c r="F304" s="7"/>
      <c r="G304" s="7"/>
      <c r="H304" s="7"/>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6"/>
      <c r="AN304" s="6"/>
      <c r="AO304" s="6"/>
      <c r="AP304" s="6"/>
      <c r="AQ304" s="6"/>
      <c r="AR304" s="6"/>
      <c r="AS304" s="6"/>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row>
    <row r="305" spans="1:77" x14ac:dyDescent="0.2">
      <c r="A305" s="7"/>
      <c r="B305" s="7"/>
      <c r="C305" s="7"/>
      <c r="D305" s="7"/>
      <c r="E305" s="7"/>
      <c r="F305" s="7"/>
      <c r="G305" s="7"/>
      <c r="H305" s="7"/>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6"/>
      <c r="AN305" s="6"/>
      <c r="AO305" s="6"/>
      <c r="AP305" s="6"/>
      <c r="AQ305" s="6"/>
      <c r="AR305" s="6"/>
      <c r="AS305" s="6"/>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row>
    <row r="306" spans="1:77" x14ac:dyDescent="0.2">
      <c r="A306" s="7"/>
      <c r="B306" s="7"/>
      <c r="C306" s="7"/>
      <c r="D306" s="7"/>
      <c r="E306" s="7"/>
      <c r="F306" s="7"/>
      <c r="G306" s="7"/>
      <c r="H306" s="7"/>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6"/>
      <c r="AN306" s="6"/>
      <c r="AO306" s="6"/>
      <c r="AP306" s="6"/>
      <c r="AQ306" s="6"/>
      <c r="AR306" s="6"/>
      <c r="AS306" s="6"/>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row>
    <row r="307" spans="1:77" x14ac:dyDescent="0.2">
      <c r="A307" s="7"/>
      <c r="B307" s="7"/>
      <c r="C307" s="7"/>
      <c r="D307" s="7"/>
      <c r="E307" s="7"/>
      <c r="F307" s="7"/>
      <c r="G307" s="7"/>
      <c r="H307" s="7"/>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6"/>
      <c r="AN307" s="6"/>
      <c r="AO307" s="6"/>
      <c r="AP307" s="6"/>
      <c r="AQ307" s="6"/>
      <c r="AR307" s="6"/>
      <c r="AS307" s="6"/>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row>
    <row r="308" spans="1:77" x14ac:dyDescent="0.2">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6"/>
      <c r="AN308" s="6"/>
      <c r="AO308" s="6"/>
      <c r="AP308" s="6"/>
      <c r="AQ308" s="6"/>
      <c r="AR308" s="6"/>
      <c r="AS308" s="6"/>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row>
    <row r="309" spans="1:77" x14ac:dyDescent="0.2">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6"/>
      <c r="AN309" s="6"/>
      <c r="AO309" s="6"/>
      <c r="AP309" s="6"/>
      <c r="AQ309" s="6"/>
      <c r="AR309" s="6"/>
      <c r="AS309" s="6"/>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row>
    <row r="310" spans="1:77" x14ac:dyDescent="0.2">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6"/>
      <c r="AN310" s="6"/>
      <c r="AO310" s="6"/>
      <c r="AP310" s="6"/>
      <c r="AQ310" s="6"/>
      <c r="AR310" s="6"/>
      <c r="AS310" s="6"/>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row>
    <row r="311" spans="1:77" x14ac:dyDescent="0.2">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6"/>
      <c r="AN311" s="6"/>
      <c r="AO311" s="6"/>
      <c r="AP311" s="6"/>
      <c r="AQ311" s="6"/>
      <c r="AR311" s="6"/>
      <c r="AS311" s="6"/>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row>
    <row r="312" spans="1:77" x14ac:dyDescent="0.2">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6"/>
      <c r="AN312" s="6"/>
      <c r="AO312" s="6"/>
      <c r="AP312" s="6"/>
      <c r="AQ312" s="6"/>
      <c r="AR312" s="6"/>
      <c r="AS312" s="6"/>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row>
    <row r="313" spans="1:77" x14ac:dyDescent="0.2">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6"/>
      <c r="AN313" s="6"/>
      <c r="AO313" s="6"/>
      <c r="AP313" s="6"/>
      <c r="AQ313" s="6"/>
      <c r="AR313" s="6"/>
      <c r="AS313" s="6"/>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row>
    <row r="314" spans="1:77" x14ac:dyDescent="0.2">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6"/>
      <c r="AN314" s="6"/>
      <c r="AO314" s="6"/>
      <c r="AP314" s="6"/>
      <c r="AQ314" s="6"/>
      <c r="AR314" s="6"/>
      <c r="AS314" s="6"/>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row>
    <row r="315" spans="1:77" x14ac:dyDescent="0.2">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6"/>
      <c r="AN315" s="6"/>
      <c r="AO315" s="6"/>
      <c r="AP315" s="6"/>
      <c r="AQ315" s="6"/>
      <c r="AR315" s="6"/>
      <c r="AS315" s="6"/>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row>
    <row r="316" spans="1:77" x14ac:dyDescent="0.2">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6"/>
      <c r="AN316" s="6"/>
      <c r="AO316" s="6"/>
      <c r="AP316" s="6"/>
      <c r="AQ316" s="6"/>
      <c r="AR316" s="6"/>
      <c r="AS316" s="6"/>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row>
    <row r="317" spans="1:77" x14ac:dyDescent="0.2">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6"/>
      <c r="AN317" s="6"/>
      <c r="AO317" s="6"/>
      <c r="AP317" s="6"/>
      <c r="AQ317" s="6"/>
      <c r="AR317" s="6"/>
      <c r="AS317" s="6"/>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row>
    <row r="318" spans="1:77" x14ac:dyDescent="0.2">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6"/>
      <c r="AN318" s="6"/>
      <c r="AO318" s="6"/>
      <c r="AP318" s="6"/>
      <c r="AQ318" s="6"/>
      <c r="AR318" s="6"/>
      <c r="AS318" s="6"/>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row>
    <row r="319" spans="1:77" x14ac:dyDescent="0.2">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6"/>
      <c r="AN319" s="6"/>
      <c r="AO319" s="6"/>
      <c r="AP319" s="6"/>
      <c r="AQ319" s="6"/>
      <c r="AR319" s="6"/>
      <c r="AS319" s="6"/>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row>
    <row r="320" spans="1:77" x14ac:dyDescent="0.2">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6"/>
      <c r="AN320" s="6"/>
      <c r="AO320" s="6"/>
      <c r="AP320" s="6"/>
      <c r="AQ320" s="6"/>
      <c r="AR320" s="6"/>
      <c r="AS320" s="6"/>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row>
    <row r="321" spans="1:77" x14ac:dyDescent="0.2">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6"/>
      <c r="AN321" s="6"/>
      <c r="AO321" s="6"/>
      <c r="AP321" s="6"/>
      <c r="AQ321" s="6"/>
      <c r="AR321" s="6"/>
      <c r="AS321" s="6"/>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row>
    <row r="322" spans="1:77" x14ac:dyDescent="0.2">
      <c r="A322" s="2"/>
      <c r="B322" s="2"/>
      <c r="C322" s="2"/>
      <c r="D322" s="2"/>
      <c r="E322" s="2"/>
      <c r="F322" s="2"/>
      <c r="G322" s="2"/>
      <c r="H322" s="2"/>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6"/>
      <c r="AN322" s="6"/>
      <c r="AO322" s="6"/>
      <c r="AP322" s="6"/>
      <c r="AQ322" s="6"/>
      <c r="AR322" s="6"/>
      <c r="AS322" s="6"/>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row>
    <row r="323" spans="1:77" x14ac:dyDescent="0.2">
      <c r="A323" s="2"/>
      <c r="B323" s="2"/>
      <c r="C323" s="2"/>
      <c r="D323" s="2"/>
      <c r="E323" s="2"/>
      <c r="F323" s="2"/>
      <c r="G323" s="2"/>
      <c r="H323" s="2"/>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6"/>
      <c r="AN323" s="6"/>
      <c r="AO323" s="6"/>
      <c r="AP323" s="6"/>
      <c r="AQ323" s="6"/>
      <c r="AR323" s="6"/>
      <c r="AS323" s="6"/>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row>
    <row r="324" spans="1:77" x14ac:dyDescent="0.2">
      <c r="A324" s="2"/>
      <c r="B324" s="2"/>
      <c r="C324" s="2"/>
      <c r="D324" s="2"/>
      <c r="E324" s="2"/>
      <c r="F324" s="2"/>
      <c r="G324" s="2"/>
      <c r="H324" s="2"/>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6"/>
      <c r="AN324" s="6"/>
      <c r="AO324" s="6"/>
      <c r="AP324" s="6"/>
      <c r="AQ324" s="6"/>
      <c r="AR324" s="6"/>
      <c r="AS324" s="6"/>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row>
    <row r="325" spans="1:77" x14ac:dyDescent="0.2">
      <c r="A325" s="2"/>
      <c r="B325" s="2"/>
      <c r="C325" s="2"/>
      <c r="D325" s="2"/>
      <c r="E325" s="2"/>
      <c r="F325" s="2"/>
      <c r="G325" s="2"/>
      <c r="H325" s="2"/>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6"/>
      <c r="AN325" s="6"/>
      <c r="AO325" s="6"/>
      <c r="AP325" s="6"/>
      <c r="AQ325" s="6"/>
      <c r="AR325" s="6"/>
      <c r="AS325" s="6"/>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row>
    <row r="326" spans="1:77" x14ac:dyDescent="0.2">
      <c r="A326" s="2"/>
      <c r="B326" s="2"/>
      <c r="C326" s="2"/>
      <c r="D326" s="2"/>
      <c r="E326" s="2"/>
      <c r="F326" s="2"/>
      <c r="G326" s="2"/>
      <c r="H326" s="2"/>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6"/>
      <c r="AN326" s="6"/>
      <c r="AO326" s="6"/>
      <c r="AP326" s="6"/>
      <c r="AQ326" s="6"/>
      <c r="AR326" s="6"/>
      <c r="AS326" s="6"/>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row>
    <row r="327" spans="1:77" x14ac:dyDescent="0.2">
      <c r="A327" s="2"/>
      <c r="B327" s="2"/>
      <c r="C327" s="2"/>
      <c r="D327" s="2"/>
      <c r="E327" s="2"/>
      <c r="F327" s="2"/>
      <c r="G327" s="2"/>
      <c r="H327" s="2"/>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6"/>
      <c r="AN327" s="6"/>
      <c r="AO327" s="6"/>
      <c r="AP327" s="6"/>
      <c r="AQ327" s="6"/>
      <c r="AR327" s="6"/>
      <c r="AS327" s="6"/>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row>
    <row r="328" spans="1:77" x14ac:dyDescent="0.2">
      <c r="A328" s="2"/>
      <c r="B328" s="2"/>
      <c r="C328" s="2"/>
      <c r="D328" s="2"/>
      <c r="E328" s="2"/>
      <c r="F328" s="2"/>
      <c r="G328" s="2"/>
      <c r="H328" s="2"/>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6"/>
      <c r="AN328" s="6"/>
      <c r="AO328" s="6"/>
      <c r="AP328" s="6"/>
      <c r="AQ328" s="6"/>
      <c r="AR328" s="6"/>
      <c r="AS328" s="6"/>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row>
    <row r="329" spans="1:77" x14ac:dyDescent="0.2">
      <c r="A329" s="2"/>
      <c r="B329" s="2"/>
      <c r="C329" s="2"/>
      <c r="D329" s="2"/>
      <c r="E329" s="2"/>
      <c r="F329" s="2"/>
      <c r="G329" s="2"/>
      <c r="H329" s="2"/>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6"/>
      <c r="AN329" s="6"/>
      <c r="AO329" s="6"/>
      <c r="AP329" s="6"/>
      <c r="AQ329" s="6"/>
      <c r="AR329" s="6"/>
      <c r="AS329" s="6"/>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row>
    <row r="330" spans="1:77" x14ac:dyDescent="0.2">
      <c r="A330" s="2"/>
      <c r="B330" s="2"/>
      <c r="C330" s="2"/>
      <c r="D330" s="2"/>
      <c r="E330" s="2"/>
      <c r="F330" s="2"/>
      <c r="G330" s="2"/>
      <c r="H330" s="2"/>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6"/>
      <c r="AN330" s="6"/>
      <c r="AO330" s="6"/>
      <c r="AP330" s="6"/>
      <c r="AQ330" s="6"/>
      <c r="AR330" s="6"/>
      <c r="AS330" s="6"/>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row>
    <row r="331" spans="1:77" x14ac:dyDescent="0.2">
      <c r="A331" s="2"/>
      <c r="B331" s="2"/>
      <c r="C331" s="2"/>
      <c r="D331" s="2"/>
      <c r="E331" s="2"/>
      <c r="F331" s="2"/>
      <c r="G331" s="2"/>
      <c r="H331" s="2"/>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6"/>
      <c r="AN331" s="6"/>
      <c r="AO331" s="6"/>
      <c r="AP331" s="6"/>
      <c r="AQ331" s="6"/>
      <c r="AR331" s="6"/>
      <c r="AS331" s="6"/>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row>
    <row r="332" spans="1:77" x14ac:dyDescent="0.2">
      <c r="A332" s="2"/>
      <c r="B332" s="2"/>
      <c r="C332" s="2"/>
      <c r="D332" s="2"/>
      <c r="E332" s="2"/>
      <c r="F332" s="2"/>
      <c r="G332" s="2"/>
      <c r="H332" s="2"/>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6"/>
      <c r="AN332" s="6"/>
      <c r="AO332" s="6"/>
      <c r="AP332" s="6"/>
      <c r="AQ332" s="6"/>
      <c r="AR332" s="6"/>
      <c r="AS332" s="6"/>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row>
    <row r="333" spans="1:77" x14ac:dyDescent="0.2">
      <c r="A333" s="2"/>
      <c r="B333" s="2"/>
      <c r="C333" s="2"/>
      <c r="D333" s="2"/>
      <c r="E333" s="2"/>
      <c r="F333" s="2"/>
      <c r="G333" s="2"/>
      <c r="H333" s="2"/>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6"/>
      <c r="AN333" s="6"/>
      <c r="AO333" s="6"/>
      <c r="AP333" s="6"/>
      <c r="AQ333" s="6"/>
      <c r="AR333" s="6"/>
      <c r="AS333" s="6"/>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row>
    <row r="334" spans="1:77" x14ac:dyDescent="0.2">
      <c r="A334" s="2"/>
      <c r="B334" s="2"/>
      <c r="C334" s="2"/>
      <c r="D334" s="2"/>
      <c r="E334" s="2"/>
      <c r="F334" s="2"/>
      <c r="G334" s="2"/>
      <c r="H334" s="2"/>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6"/>
      <c r="AN334" s="6"/>
      <c r="AO334" s="6"/>
      <c r="AP334" s="6"/>
      <c r="AQ334" s="6"/>
      <c r="AR334" s="6"/>
      <c r="AS334" s="6"/>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row>
    <row r="335" spans="1:77" x14ac:dyDescent="0.2">
      <c r="A335" s="2"/>
      <c r="B335" s="2"/>
      <c r="C335" s="2"/>
      <c r="D335" s="2"/>
      <c r="E335" s="2"/>
      <c r="F335" s="2"/>
      <c r="G335" s="2"/>
      <c r="H335" s="2"/>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6"/>
      <c r="AN335" s="6"/>
      <c r="AO335" s="6"/>
      <c r="AP335" s="6"/>
      <c r="AQ335" s="6"/>
      <c r="AR335" s="6"/>
      <c r="AS335" s="6"/>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row>
    <row r="336" spans="1:77" x14ac:dyDescent="0.2">
      <c r="A336" s="2"/>
      <c r="B336" s="2"/>
      <c r="C336" s="2"/>
      <c r="D336" s="2"/>
      <c r="E336" s="2"/>
      <c r="F336" s="2"/>
      <c r="G336" s="2"/>
      <c r="H336" s="2"/>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6"/>
      <c r="AN336" s="6"/>
      <c r="AO336" s="6"/>
      <c r="AP336" s="6"/>
      <c r="AQ336" s="6"/>
      <c r="AR336" s="6"/>
      <c r="AS336" s="6"/>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row>
    <row r="337" spans="1:77" x14ac:dyDescent="0.2">
      <c r="A337" s="2"/>
      <c r="B337" s="2"/>
      <c r="C337" s="2"/>
      <c r="D337" s="2"/>
      <c r="E337" s="2"/>
      <c r="F337" s="2"/>
      <c r="G337" s="2"/>
      <c r="H337" s="2"/>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6"/>
      <c r="AN337" s="6"/>
      <c r="AO337" s="6"/>
      <c r="AP337" s="6"/>
      <c r="AQ337" s="6"/>
      <c r="AR337" s="6"/>
      <c r="AS337" s="6"/>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row>
    <row r="338" spans="1:77" x14ac:dyDescent="0.2">
      <c r="A338" s="2"/>
      <c r="B338" s="2"/>
      <c r="C338" s="2"/>
      <c r="D338" s="2"/>
      <c r="E338" s="2"/>
      <c r="F338" s="2"/>
      <c r="G338" s="2"/>
      <c r="H338" s="2"/>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6"/>
      <c r="AN338" s="6"/>
      <c r="AO338" s="6"/>
      <c r="AP338" s="6"/>
      <c r="AQ338" s="6"/>
      <c r="AR338" s="6"/>
      <c r="AS338" s="6"/>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row>
    <row r="339" spans="1:77" x14ac:dyDescent="0.2">
      <c r="A339" s="2"/>
      <c r="B339" s="2"/>
      <c r="C339" s="2"/>
      <c r="D339" s="2"/>
      <c r="E339" s="2"/>
      <c r="F339" s="2"/>
      <c r="G339" s="2"/>
      <c r="H339" s="2"/>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6"/>
      <c r="AN339" s="6"/>
      <c r="AO339" s="6"/>
      <c r="AP339" s="6"/>
      <c r="AQ339" s="6"/>
      <c r="AR339" s="6"/>
      <c r="AS339" s="6"/>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row>
    <row r="340" spans="1:77" x14ac:dyDescent="0.2">
      <c r="A340" s="2"/>
      <c r="B340" s="2"/>
      <c r="C340" s="2"/>
      <c r="D340" s="2"/>
      <c r="E340" s="2"/>
      <c r="F340" s="2"/>
      <c r="G340" s="2"/>
      <c r="H340" s="2"/>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6"/>
      <c r="AN340" s="6"/>
      <c r="AO340" s="6"/>
      <c r="AP340" s="6"/>
      <c r="AQ340" s="6"/>
      <c r="AR340" s="6"/>
      <c r="AS340" s="6"/>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row>
    <row r="341" spans="1:77" x14ac:dyDescent="0.2">
      <c r="A341" s="2"/>
      <c r="B341" s="2"/>
      <c r="C341" s="2"/>
      <c r="D341" s="2"/>
      <c r="E341" s="2"/>
      <c r="F341" s="2"/>
      <c r="G341" s="2"/>
      <c r="H341" s="2"/>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6"/>
      <c r="AN341" s="6"/>
      <c r="AO341" s="6"/>
      <c r="AP341" s="6"/>
      <c r="AQ341" s="6"/>
      <c r="AR341" s="6"/>
      <c r="AS341" s="6"/>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row>
    <row r="342" spans="1:77" x14ac:dyDescent="0.2">
      <c r="A342" s="2"/>
      <c r="B342" s="2"/>
      <c r="C342" s="2"/>
      <c r="D342" s="2"/>
      <c r="E342" s="2"/>
      <c r="F342" s="2"/>
      <c r="G342" s="2"/>
      <c r="H342" s="2"/>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6"/>
      <c r="AN342" s="6"/>
      <c r="AO342" s="6"/>
      <c r="AP342" s="6"/>
      <c r="AQ342" s="6"/>
      <c r="AR342" s="6"/>
      <c r="AS342" s="6"/>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row>
    <row r="343" spans="1:77" x14ac:dyDescent="0.2">
      <c r="A343" s="2"/>
      <c r="B343" s="2"/>
      <c r="C343" s="2"/>
      <c r="D343" s="2"/>
      <c r="E343" s="2"/>
      <c r="F343" s="2"/>
      <c r="G343" s="2"/>
      <c r="H343" s="2"/>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6"/>
      <c r="AN343" s="6"/>
      <c r="AO343" s="6"/>
      <c r="AP343" s="6"/>
      <c r="AQ343" s="6"/>
      <c r="AR343" s="6"/>
      <c r="AS343" s="6"/>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row>
    <row r="344" spans="1:77" x14ac:dyDescent="0.2">
      <c r="A344" s="2"/>
      <c r="B344" s="2"/>
      <c r="C344" s="2"/>
      <c r="D344" s="2"/>
      <c r="E344" s="2"/>
      <c r="F344" s="2"/>
      <c r="G344" s="2"/>
      <c r="H344" s="2"/>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6"/>
      <c r="AN344" s="6"/>
      <c r="AO344" s="6"/>
      <c r="AP344" s="6"/>
      <c r="AQ344" s="6"/>
      <c r="AR344" s="6"/>
      <c r="AS344" s="6"/>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row>
    <row r="345" spans="1:77" x14ac:dyDescent="0.2">
      <c r="A345" s="2"/>
      <c r="B345" s="2"/>
      <c r="C345" s="2"/>
      <c r="D345" s="2"/>
      <c r="E345" s="2"/>
      <c r="F345" s="2"/>
      <c r="G345" s="2"/>
      <c r="H345" s="2"/>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6"/>
      <c r="AN345" s="6"/>
      <c r="AO345" s="6"/>
      <c r="AP345" s="6"/>
      <c r="AQ345" s="6"/>
      <c r="AR345" s="6"/>
      <c r="AS345" s="6"/>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row>
    <row r="346" spans="1:77" x14ac:dyDescent="0.2">
      <c r="A346" s="2"/>
      <c r="B346" s="2"/>
      <c r="C346" s="2"/>
      <c r="D346" s="2"/>
      <c r="E346" s="2"/>
      <c r="F346" s="2"/>
      <c r="G346" s="2"/>
      <c r="H346" s="2"/>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6"/>
      <c r="AN346" s="6"/>
      <c r="AO346" s="6"/>
      <c r="AP346" s="6"/>
      <c r="AQ346" s="6"/>
      <c r="AR346" s="6"/>
      <c r="AS346" s="6"/>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row>
    <row r="347" spans="1:77" x14ac:dyDescent="0.2">
      <c r="A347" s="2"/>
      <c r="B347" s="2"/>
      <c r="C347" s="2"/>
      <c r="D347" s="2"/>
      <c r="E347" s="2"/>
      <c r="F347" s="2"/>
      <c r="G347" s="2"/>
      <c r="H347" s="2"/>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6"/>
      <c r="AN347" s="6"/>
      <c r="AO347" s="6"/>
      <c r="AP347" s="6"/>
      <c r="AQ347" s="6"/>
      <c r="AR347" s="6"/>
      <c r="AS347" s="6"/>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row>
    <row r="348" spans="1:77" x14ac:dyDescent="0.2">
      <c r="A348" s="2"/>
      <c r="B348" s="2"/>
      <c r="C348" s="2"/>
      <c r="D348" s="2"/>
      <c r="E348" s="2"/>
      <c r="F348" s="2"/>
      <c r="G348" s="2"/>
      <c r="H348" s="2"/>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6"/>
      <c r="AN348" s="6"/>
      <c r="AO348" s="6"/>
      <c r="AP348" s="6"/>
      <c r="AQ348" s="6"/>
      <c r="AR348" s="6"/>
      <c r="AS348" s="6"/>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row>
    <row r="349" spans="1:77" x14ac:dyDescent="0.2">
      <c r="A349" s="2"/>
      <c r="B349" s="2"/>
      <c r="C349" s="2"/>
      <c r="D349" s="2"/>
      <c r="E349" s="2"/>
      <c r="F349" s="2"/>
      <c r="G349" s="2"/>
      <c r="H349" s="2"/>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6"/>
      <c r="AN349" s="6"/>
      <c r="AO349" s="6"/>
      <c r="AP349" s="6"/>
      <c r="AQ349" s="6"/>
      <c r="AR349" s="6"/>
      <c r="AS349" s="6"/>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row>
    <row r="350" spans="1:77" x14ac:dyDescent="0.2">
      <c r="A350" s="2"/>
      <c r="B350" s="2"/>
      <c r="C350" s="2"/>
      <c r="D350" s="2"/>
      <c r="E350" s="2"/>
      <c r="F350" s="2"/>
      <c r="G350" s="2"/>
      <c r="H350" s="2"/>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6"/>
      <c r="AN350" s="6"/>
      <c r="AO350" s="6"/>
      <c r="AP350" s="6"/>
      <c r="AQ350" s="6"/>
      <c r="AR350" s="6"/>
      <c r="AS350" s="6"/>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row>
    <row r="351" spans="1:77" x14ac:dyDescent="0.2">
      <c r="A351" s="2"/>
      <c r="B351" s="2"/>
      <c r="C351" s="2"/>
      <c r="D351" s="2"/>
      <c r="E351" s="2"/>
      <c r="F351" s="2"/>
      <c r="G351" s="2"/>
      <c r="H351" s="2"/>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6"/>
      <c r="AN351" s="6"/>
      <c r="AO351" s="6"/>
      <c r="AP351" s="6"/>
      <c r="AQ351" s="6"/>
      <c r="AR351" s="6"/>
      <c r="AS351" s="6"/>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row>
    <row r="352" spans="1:77" x14ac:dyDescent="0.2">
      <c r="A352" s="2"/>
      <c r="B352" s="2"/>
      <c r="C352" s="2"/>
      <c r="D352" s="2"/>
      <c r="E352" s="2"/>
      <c r="F352" s="2"/>
      <c r="G352" s="2"/>
      <c r="H352" s="2"/>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6"/>
      <c r="AN352" s="6"/>
      <c r="AO352" s="6"/>
      <c r="AP352" s="6"/>
      <c r="AQ352" s="6"/>
      <c r="AR352" s="6"/>
      <c r="AS352" s="6"/>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row>
    <row r="353" spans="1:77" x14ac:dyDescent="0.2">
      <c r="A353" s="2"/>
      <c r="B353" s="2"/>
      <c r="C353" s="2"/>
      <c r="D353" s="2"/>
      <c r="E353" s="2"/>
      <c r="F353" s="2"/>
      <c r="G353" s="2"/>
      <c r="H353" s="2"/>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6"/>
      <c r="AN353" s="6"/>
      <c r="AO353" s="6"/>
      <c r="AP353" s="6"/>
      <c r="AQ353" s="6"/>
      <c r="AR353" s="6"/>
      <c r="AS353" s="6"/>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row>
    <row r="354" spans="1:77" x14ac:dyDescent="0.2">
      <c r="A354" s="2"/>
      <c r="B354" s="2"/>
      <c r="C354" s="2"/>
      <c r="D354" s="2"/>
      <c r="E354" s="2"/>
      <c r="F354" s="2"/>
      <c r="G354" s="2"/>
      <c r="H354" s="2"/>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6"/>
      <c r="AN354" s="6"/>
      <c r="AO354" s="6"/>
      <c r="AP354" s="6"/>
      <c r="AQ354" s="6"/>
      <c r="AR354" s="6"/>
      <c r="AS354" s="6"/>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row>
    <row r="355" spans="1:77" x14ac:dyDescent="0.2">
      <c r="A355" s="2"/>
      <c r="B355" s="2"/>
      <c r="C355" s="2"/>
      <c r="D355" s="2"/>
      <c r="E355" s="2"/>
      <c r="F355" s="2"/>
      <c r="G355" s="2"/>
      <c r="H355" s="2"/>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6"/>
      <c r="AN355" s="6"/>
      <c r="AO355" s="6"/>
      <c r="AP355" s="6"/>
      <c r="AQ355" s="6"/>
      <c r="AR355" s="6"/>
      <c r="AS355" s="6"/>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row>
    <row r="356" spans="1:77" x14ac:dyDescent="0.2">
      <c r="A356" s="2"/>
      <c r="B356" s="2"/>
      <c r="C356" s="2"/>
      <c r="D356" s="2"/>
      <c r="E356" s="2"/>
      <c r="F356" s="2"/>
      <c r="G356" s="2"/>
      <c r="H356" s="2"/>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6"/>
      <c r="AN356" s="6"/>
      <c r="AO356" s="6"/>
      <c r="AP356" s="6"/>
      <c r="AQ356" s="6"/>
      <c r="AR356" s="6"/>
      <c r="AS356" s="6"/>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row>
    <row r="357" spans="1:77" x14ac:dyDescent="0.2">
      <c r="A357" s="2"/>
      <c r="B357" s="2"/>
      <c r="C357" s="2"/>
      <c r="D357" s="2"/>
      <c r="E357" s="2"/>
      <c r="F357" s="2"/>
      <c r="G357" s="2"/>
      <c r="H357" s="2"/>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6"/>
      <c r="AN357" s="6"/>
      <c r="AO357" s="6"/>
      <c r="AP357" s="6"/>
      <c r="AQ357" s="6"/>
      <c r="AR357" s="6"/>
      <c r="AS357" s="6"/>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row>
    <row r="358" spans="1:77" x14ac:dyDescent="0.2">
      <c r="A358" s="2"/>
      <c r="B358" s="2"/>
      <c r="C358" s="2"/>
      <c r="D358" s="2"/>
      <c r="E358" s="2"/>
      <c r="F358" s="2"/>
      <c r="G358" s="2"/>
      <c r="H358" s="2"/>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6"/>
      <c r="AN358" s="6"/>
      <c r="AO358" s="6"/>
      <c r="AP358" s="6"/>
      <c r="AQ358" s="6"/>
      <c r="AR358" s="6"/>
      <c r="AS358" s="6"/>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row>
    <row r="359" spans="1:77" x14ac:dyDescent="0.2">
      <c r="A359" s="2"/>
      <c r="B359" s="2"/>
      <c r="C359" s="2"/>
      <c r="D359" s="2"/>
      <c r="E359" s="2"/>
      <c r="F359" s="2"/>
      <c r="G359" s="2"/>
      <c r="H359" s="2"/>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6"/>
      <c r="AN359" s="6"/>
      <c r="AO359" s="6"/>
      <c r="AP359" s="6"/>
      <c r="AQ359" s="6"/>
      <c r="AR359" s="6"/>
      <c r="AS359" s="6"/>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row>
    <row r="360" spans="1:77" x14ac:dyDescent="0.2">
      <c r="A360" s="2"/>
      <c r="B360" s="2"/>
      <c r="C360" s="2"/>
      <c r="D360" s="2"/>
      <c r="E360" s="2"/>
      <c r="F360" s="2"/>
      <c r="G360" s="2"/>
      <c r="H360" s="2"/>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6"/>
      <c r="AN360" s="6"/>
      <c r="AO360" s="6"/>
      <c r="AP360" s="6"/>
      <c r="AQ360" s="6"/>
      <c r="AR360" s="6"/>
      <c r="AS360" s="6"/>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row>
    <row r="361" spans="1:77" x14ac:dyDescent="0.2">
      <c r="A361" s="2"/>
      <c r="B361" s="2"/>
      <c r="C361" s="2"/>
      <c r="D361" s="2"/>
      <c r="E361" s="2"/>
      <c r="F361" s="2"/>
      <c r="G361" s="2"/>
      <c r="H361" s="2"/>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6"/>
      <c r="AN361" s="6"/>
      <c r="AO361" s="6"/>
      <c r="AP361" s="6"/>
      <c r="AQ361" s="6"/>
      <c r="AR361" s="6"/>
      <c r="AS361" s="6"/>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row>
    <row r="362" spans="1:77" x14ac:dyDescent="0.2">
      <c r="A362" s="2"/>
      <c r="B362" s="2"/>
      <c r="C362" s="2"/>
      <c r="D362" s="2"/>
      <c r="E362" s="2"/>
      <c r="F362" s="2"/>
      <c r="G362" s="2"/>
      <c r="H362" s="2"/>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6"/>
      <c r="AN362" s="6"/>
      <c r="AO362" s="6"/>
      <c r="AP362" s="6"/>
      <c r="AQ362" s="6"/>
      <c r="AR362" s="6"/>
      <c r="AS362" s="6"/>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row>
    <row r="363" spans="1:77" x14ac:dyDescent="0.2">
      <c r="A363" s="2"/>
      <c r="B363" s="2"/>
      <c r="C363" s="2"/>
      <c r="D363" s="2"/>
      <c r="E363" s="2"/>
      <c r="F363" s="2"/>
      <c r="G363" s="2"/>
      <c r="H363" s="2"/>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6"/>
      <c r="AN363" s="6"/>
      <c r="AO363" s="6"/>
      <c r="AP363" s="6"/>
      <c r="AQ363" s="6"/>
      <c r="AR363" s="6"/>
      <c r="AS363" s="6"/>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row>
    <row r="364" spans="1:77" x14ac:dyDescent="0.2">
      <c r="A364" s="2"/>
      <c r="B364" s="2"/>
      <c r="C364" s="2"/>
      <c r="D364" s="2"/>
      <c r="E364" s="2"/>
      <c r="F364" s="2"/>
      <c r="G364" s="2"/>
      <c r="H364" s="2"/>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6"/>
      <c r="AN364" s="6"/>
      <c r="AO364" s="6"/>
      <c r="AP364" s="6"/>
      <c r="AQ364" s="6"/>
      <c r="AR364" s="6"/>
      <c r="AS364" s="6"/>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row>
    <row r="365" spans="1:77" x14ac:dyDescent="0.2">
      <c r="A365" s="2"/>
      <c r="B365" s="2"/>
      <c r="C365" s="2"/>
      <c r="D365" s="2"/>
      <c r="E365" s="2"/>
      <c r="F365" s="2"/>
      <c r="G365" s="2"/>
      <c r="H365" s="2"/>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6"/>
      <c r="AN365" s="6"/>
      <c r="AO365" s="6"/>
      <c r="AP365" s="6"/>
      <c r="AQ365" s="6"/>
      <c r="AR365" s="6"/>
      <c r="AS365" s="6"/>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row>
    <row r="366" spans="1:77" x14ac:dyDescent="0.2">
      <c r="A366" s="2"/>
      <c r="B366" s="2"/>
      <c r="C366" s="2"/>
      <c r="D366" s="2"/>
      <c r="E366" s="2"/>
      <c r="F366" s="2"/>
      <c r="G366" s="2"/>
      <c r="H366" s="2"/>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6"/>
      <c r="AN366" s="6"/>
      <c r="AO366" s="6"/>
      <c r="AP366" s="6"/>
      <c r="AQ366" s="6"/>
      <c r="AR366" s="6"/>
      <c r="AS366" s="6"/>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row>
    <row r="367" spans="1:77" x14ac:dyDescent="0.2">
      <c r="A367" s="2"/>
      <c r="B367" s="2"/>
      <c r="C367" s="2"/>
      <c r="D367" s="2"/>
      <c r="E367" s="2"/>
      <c r="F367" s="2"/>
      <c r="G367" s="2"/>
      <c r="H367" s="2"/>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6"/>
      <c r="AN367" s="6"/>
      <c r="AO367" s="6"/>
      <c r="AP367" s="6"/>
      <c r="AQ367" s="6"/>
      <c r="AR367" s="6"/>
      <c r="AS367" s="6"/>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row>
    <row r="368" spans="1:77" x14ac:dyDescent="0.2">
      <c r="A368" s="2"/>
      <c r="B368" s="2"/>
      <c r="C368" s="2"/>
      <c r="D368" s="2"/>
      <c r="E368" s="2"/>
      <c r="F368" s="2"/>
      <c r="G368" s="2"/>
      <c r="H368" s="2"/>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6"/>
      <c r="AN368" s="6"/>
      <c r="AO368" s="6"/>
      <c r="AP368" s="6"/>
      <c r="AQ368" s="6"/>
      <c r="AR368" s="6"/>
      <c r="AS368" s="6"/>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row>
    <row r="369" spans="1:77" x14ac:dyDescent="0.2">
      <c r="A369" s="2"/>
      <c r="B369" s="2"/>
      <c r="C369" s="2"/>
      <c r="D369" s="2"/>
      <c r="E369" s="2"/>
      <c r="F369" s="2"/>
      <c r="G369" s="2"/>
      <c r="H369" s="2"/>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6"/>
      <c r="AN369" s="6"/>
      <c r="AO369" s="6"/>
      <c r="AP369" s="6"/>
      <c r="AQ369" s="6"/>
      <c r="AR369" s="6"/>
      <c r="AS369" s="6"/>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row>
    <row r="370" spans="1:77" x14ac:dyDescent="0.2">
      <c r="A370" s="2"/>
      <c r="B370" s="2"/>
      <c r="C370" s="2"/>
      <c r="D370" s="2"/>
      <c r="E370" s="2"/>
      <c r="F370" s="2"/>
      <c r="G370" s="2"/>
      <c r="H370" s="2"/>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6"/>
      <c r="AN370" s="6"/>
      <c r="AO370" s="6"/>
      <c r="AP370" s="6"/>
      <c r="AQ370" s="6"/>
      <c r="AR370" s="6"/>
      <c r="AS370" s="6"/>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row>
    <row r="371" spans="1:77" x14ac:dyDescent="0.2">
      <c r="A371" s="2"/>
      <c r="B371" s="2"/>
      <c r="C371" s="2"/>
      <c r="D371" s="2"/>
      <c r="E371" s="2"/>
      <c r="F371" s="2"/>
      <c r="G371" s="2"/>
      <c r="H371" s="2"/>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6"/>
      <c r="AN371" s="6"/>
      <c r="AO371" s="6"/>
      <c r="AP371" s="6"/>
      <c r="AQ371" s="6"/>
      <c r="AR371" s="6"/>
      <c r="AS371" s="6"/>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row>
    <row r="372" spans="1:77" x14ac:dyDescent="0.2">
      <c r="A372" s="2"/>
      <c r="B372" s="2"/>
      <c r="C372" s="2"/>
      <c r="D372" s="2"/>
      <c r="E372" s="2"/>
      <c r="F372" s="2"/>
      <c r="G372" s="2"/>
      <c r="H372" s="2"/>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6"/>
      <c r="AN372" s="6"/>
      <c r="AO372" s="6"/>
      <c r="AP372" s="6"/>
      <c r="AQ372" s="6"/>
      <c r="AR372" s="6"/>
      <c r="AS372" s="6"/>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row>
    <row r="373" spans="1:77" x14ac:dyDescent="0.2">
      <c r="A373" s="2"/>
      <c r="B373" s="2"/>
      <c r="C373" s="2"/>
      <c r="D373" s="2"/>
      <c r="E373" s="2"/>
      <c r="F373" s="2"/>
      <c r="G373" s="2"/>
      <c r="H373" s="2"/>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6"/>
      <c r="AN373" s="6"/>
      <c r="AO373" s="6"/>
      <c r="AP373" s="6"/>
      <c r="AQ373" s="6"/>
      <c r="AR373" s="6"/>
      <c r="AS373" s="6"/>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row>
    <row r="374" spans="1:77" x14ac:dyDescent="0.2">
      <c r="A374" s="2"/>
      <c r="B374" s="2"/>
      <c r="C374" s="2"/>
      <c r="D374" s="2"/>
      <c r="E374" s="2"/>
      <c r="F374" s="2"/>
      <c r="G374" s="2"/>
      <c r="H374" s="2"/>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6"/>
      <c r="AN374" s="6"/>
      <c r="AO374" s="6"/>
      <c r="AP374" s="6"/>
      <c r="AQ374" s="6"/>
      <c r="AR374" s="6"/>
      <c r="AS374" s="6"/>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row>
    <row r="375" spans="1:77" x14ac:dyDescent="0.2">
      <c r="A375" s="2"/>
      <c r="B375" s="2"/>
      <c r="C375" s="2"/>
      <c r="D375" s="2"/>
      <c r="E375" s="2"/>
      <c r="F375" s="2"/>
      <c r="G375" s="2"/>
      <c r="H375" s="2"/>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6"/>
      <c r="AN375" s="6"/>
      <c r="AO375" s="6"/>
      <c r="AP375" s="6"/>
      <c r="AQ375" s="6"/>
      <c r="AR375" s="6"/>
      <c r="AS375" s="6"/>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row>
    <row r="376" spans="1:77" x14ac:dyDescent="0.2">
      <c r="A376" s="2"/>
      <c r="B376" s="2"/>
      <c r="C376" s="2"/>
      <c r="D376" s="2"/>
      <c r="E376" s="2"/>
      <c r="F376" s="2"/>
      <c r="G376" s="2"/>
      <c r="H376" s="2"/>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6"/>
      <c r="AN376" s="6"/>
      <c r="AO376" s="6"/>
      <c r="AP376" s="6"/>
      <c r="AQ376" s="6"/>
      <c r="AR376" s="6"/>
      <c r="AS376" s="6"/>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row>
    <row r="377" spans="1:77" x14ac:dyDescent="0.2">
      <c r="A377" s="2"/>
      <c r="B377" s="2"/>
      <c r="C377" s="2"/>
      <c r="D377" s="2"/>
      <c r="E377" s="2"/>
      <c r="F377" s="2"/>
      <c r="G377" s="2"/>
      <c r="H377" s="2"/>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6"/>
      <c r="AN377" s="6"/>
      <c r="AO377" s="6"/>
      <c r="AP377" s="6"/>
      <c r="AQ377" s="6"/>
      <c r="AR377" s="6"/>
      <c r="AS377" s="6"/>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row>
    <row r="378" spans="1:77" x14ac:dyDescent="0.2">
      <c r="A378" s="2"/>
      <c r="B378" s="2"/>
      <c r="C378" s="2"/>
      <c r="D378" s="2"/>
      <c r="E378" s="2"/>
      <c r="F378" s="2"/>
      <c r="G378" s="2"/>
      <c r="H378" s="2"/>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6"/>
      <c r="AN378" s="6"/>
      <c r="AO378" s="6"/>
      <c r="AP378" s="6"/>
      <c r="AQ378" s="6"/>
      <c r="AR378" s="6"/>
      <c r="AS378" s="6"/>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row>
    <row r="379" spans="1:77" x14ac:dyDescent="0.2">
      <c r="A379" s="2"/>
      <c r="B379" s="2"/>
      <c r="C379" s="2"/>
      <c r="D379" s="2"/>
      <c r="E379" s="2"/>
      <c r="F379" s="2"/>
      <c r="G379" s="2"/>
      <c r="H379" s="2"/>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6"/>
      <c r="AN379" s="6"/>
      <c r="AO379" s="6"/>
      <c r="AP379" s="6"/>
      <c r="AQ379" s="6"/>
      <c r="AR379" s="6"/>
      <c r="AS379" s="6"/>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row>
    <row r="380" spans="1:77" x14ac:dyDescent="0.2">
      <c r="A380" s="2"/>
      <c r="B380" s="2"/>
      <c r="C380" s="2"/>
      <c r="D380" s="2"/>
      <c r="E380" s="2"/>
      <c r="F380" s="2"/>
      <c r="G380" s="2"/>
      <c r="H380" s="2"/>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6"/>
      <c r="AN380" s="6"/>
      <c r="AO380" s="6"/>
      <c r="AP380" s="6"/>
      <c r="AQ380" s="6"/>
      <c r="AR380" s="6"/>
      <c r="AS380" s="6"/>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row>
    <row r="381" spans="1:77" x14ac:dyDescent="0.2">
      <c r="A381" s="2"/>
      <c r="B381" s="2"/>
      <c r="C381" s="2"/>
      <c r="D381" s="2"/>
      <c r="E381" s="2"/>
      <c r="F381" s="2"/>
      <c r="G381" s="2"/>
      <c r="H381" s="2"/>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6"/>
      <c r="AN381" s="6"/>
      <c r="AO381" s="6"/>
      <c r="AP381" s="6"/>
      <c r="AQ381" s="6"/>
      <c r="AR381" s="6"/>
      <c r="AS381" s="6"/>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row>
    <row r="382" spans="1:77" x14ac:dyDescent="0.2">
      <c r="A382" s="2"/>
      <c r="B382" s="2"/>
      <c r="C382" s="2"/>
      <c r="D382" s="2"/>
      <c r="E382" s="2"/>
      <c r="F382" s="2"/>
      <c r="G382" s="2"/>
      <c r="H382" s="2"/>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6"/>
      <c r="AN382" s="6"/>
      <c r="AO382" s="6"/>
      <c r="AP382" s="6"/>
      <c r="AQ382" s="6"/>
      <c r="AR382" s="6"/>
      <c r="AS382" s="6"/>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row>
    <row r="383" spans="1:77" x14ac:dyDescent="0.2">
      <c r="A383" s="2"/>
      <c r="B383" s="2"/>
      <c r="C383" s="2"/>
      <c r="D383" s="2"/>
      <c r="E383" s="2"/>
      <c r="F383" s="2"/>
      <c r="G383" s="2"/>
      <c r="H383" s="2"/>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6"/>
      <c r="AN383" s="6"/>
      <c r="AO383" s="6"/>
      <c r="AP383" s="6"/>
      <c r="AQ383" s="6"/>
      <c r="AR383" s="6"/>
      <c r="AS383" s="6"/>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row>
    <row r="384" spans="1:77" x14ac:dyDescent="0.2">
      <c r="A384" s="2"/>
      <c r="B384" s="2"/>
      <c r="C384" s="2"/>
      <c r="D384" s="2"/>
      <c r="E384" s="2"/>
      <c r="F384" s="2"/>
      <c r="G384" s="2"/>
      <c r="H384" s="2"/>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6"/>
      <c r="AN384" s="6"/>
      <c r="AO384" s="6"/>
      <c r="AP384" s="6"/>
      <c r="AQ384" s="6"/>
      <c r="AR384" s="6"/>
      <c r="AS384" s="6"/>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row>
    <row r="385" spans="1:77" x14ac:dyDescent="0.2">
      <c r="A385" s="2"/>
      <c r="B385" s="2"/>
      <c r="C385" s="2"/>
      <c r="D385" s="2"/>
      <c r="E385" s="2"/>
      <c r="F385" s="2"/>
      <c r="G385" s="2"/>
      <c r="H385" s="2"/>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6"/>
      <c r="AN385" s="6"/>
      <c r="AO385" s="6"/>
      <c r="AP385" s="6"/>
      <c r="AQ385" s="6"/>
      <c r="AR385" s="6"/>
      <c r="AS385" s="6"/>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row>
    <row r="386" spans="1:77" x14ac:dyDescent="0.2">
      <c r="A386" s="2"/>
      <c r="B386" s="2"/>
      <c r="C386" s="2"/>
      <c r="D386" s="2"/>
      <c r="E386" s="2"/>
      <c r="F386" s="2"/>
      <c r="G386" s="2"/>
      <c r="H386" s="2"/>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6"/>
      <c r="AN386" s="6"/>
      <c r="AO386" s="6"/>
      <c r="AP386" s="6"/>
      <c r="AQ386" s="6"/>
      <c r="AR386" s="6"/>
      <c r="AS386" s="6"/>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row>
    <row r="387" spans="1:77" x14ac:dyDescent="0.2">
      <c r="A387" s="2"/>
      <c r="B387" s="2"/>
      <c r="C387" s="2"/>
      <c r="D387" s="2"/>
      <c r="E387" s="2"/>
      <c r="F387" s="2"/>
      <c r="G387" s="2"/>
      <c r="H387" s="2"/>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6"/>
      <c r="AN387" s="6"/>
      <c r="AO387" s="6"/>
      <c r="AP387" s="6"/>
      <c r="AQ387" s="6"/>
      <c r="AR387" s="6"/>
      <c r="AS387" s="6"/>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row>
    <row r="388" spans="1:77" x14ac:dyDescent="0.2">
      <c r="A388" s="2"/>
      <c r="B388" s="2"/>
      <c r="C388" s="2"/>
      <c r="D388" s="2"/>
      <c r="E388" s="2"/>
      <c r="F388" s="2"/>
      <c r="G388" s="2"/>
      <c r="H388" s="2"/>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6"/>
      <c r="AN388" s="6"/>
      <c r="AO388" s="6"/>
      <c r="AP388" s="6"/>
      <c r="AQ388" s="6"/>
      <c r="AR388" s="6"/>
      <c r="AS388" s="6"/>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row>
    <row r="389" spans="1:77" x14ac:dyDescent="0.2">
      <c r="A389" s="2"/>
      <c r="B389" s="2"/>
      <c r="C389" s="2"/>
      <c r="D389" s="2"/>
      <c r="E389" s="2"/>
      <c r="F389" s="2"/>
      <c r="G389" s="2"/>
      <c r="H389" s="2"/>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6"/>
      <c r="AN389" s="6"/>
      <c r="AO389" s="6"/>
      <c r="AP389" s="6"/>
      <c r="AQ389" s="6"/>
      <c r="AR389" s="6"/>
      <c r="AS389" s="6"/>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row>
    <row r="390" spans="1:77" x14ac:dyDescent="0.2">
      <c r="A390" s="2"/>
      <c r="B390" s="2"/>
      <c r="C390" s="2"/>
      <c r="D390" s="2"/>
      <c r="E390" s="2"/>
      <c r="F390" s="2"/>
      <c r="G390" s="2"/>
      <c r="H390" s="2"/>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5"/>
      <c r="AN390" s="5"/>
      <c r="AO390" s="5"/>
      <c r="AP390" s="5"/>
      <c r="AQ390" s="5"/>
      <c r="AR390" s="5"/>
      <c r="AS390" s="5"/>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row>
    <row r="391" spans="1:77" x14ac:dyDescent="0.2">
      <c r="A391" s="2"/>
      <c r="B391" s="2"/>
      <c r="C391" s="2"/>
      <c r="D391" s="2"/>
      <c r="E391" s="2"/>
      <c r="F391" s="2"/>
      <c r="G391" s="2"/>
      <c r="H391" s="2"/>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row>
    <row r="392" spans="1:77" x14ac:dyDescent="0.2">
      <c r="A392" s="2"/>
      <c r="B392" s="2"/>
      <c r="C392" s="2"/>
      <c r="D392" s="2"/>
      <c r="E392" s="2"/>
      <c r="F392" s="2"/>
      <c r="G392" s="2"/>
      <c r="H392" s="2"/>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row>
    <row r="393" spans="1:77" x14ac:dyDescent="0.2">
      <c r="A393" s="2"/>
      <c r="B393" s="2"/>
      <c r="C393" s="2"/>
      <c r="D393" s="2"/>
      <c r="E393" s="2"/>
      <c r="F393" s="2"/>
      <c r="G393" s="2"/>
      <c r="H393" s="2"/>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row>
    <row r="394" spans="1:77" x14ac:dyDescent="0.2">
      <c r="A394" s="2"/>
      <c r="B394" s="2"/>
      <c r="C394" s="2"/>
      <c r="D394" s="2"/>
      <c r="E394" s="2"/>
      <c r="F394" s="2"/>
      <c r="G394" s="2"/>
      <c r="H394" s="2"/>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row>
    <row r="395" spans="1:77" x14ac:dyDescent="0.2">
      <c r="A395" s="2"/>
      <c r="B395" s="2"/>
      <c r="C395" s="2"/>
      <c r="D395" s="2"/>
      <c r="E395" s="2"/>
      <c r="F395" s="2"/>
      <c r="G395" s="2"/>
      <c r="H395" s="2"/>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row>
    <row r="396" spans="1:77" x14ac:dyDescent="0.2">
      <c r="A396" s="2"/>
      <c r="B396" s="2"/>
      <c r="C396" s="2"/>
      <c r="D396" s="2"/>
      <c r="E396" s="2"/>
      <c r="F396" s="2"/>
      <c r="G396" s="2"/>
      <c r="H396" s="2"/>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row>
    <row r="397" spans="1:77" x14ac:dyDescent="0.2">
      <c r="A397" s="2"/>
      <c r="B397" s="2"/>
      <c r="C397" s="2"/>
      <c r="D397" s="2"/>
      <c r="E397" s="2"/>
      <c r="F397" s="2"/>
      <c r="G397" s="2"/>
      <c r="H397" s="2"/>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row>
    <row r="398" spans="1:77" x14ac:dyDescent="0.2">
      <c r="A398" s="2"/>
      <c r="B398" s="2"/>
      <c r="C398" s="2"/>
      <c r="D398" s="2"/>
      <c r="E398" s="2"/>
      <c r="F398" s="2"/>
      <c r="G398" s="2"/>
      <c r="H398" s="2"/>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row>
    <row r="399" spans="1:77" x14ac:dyDescent="0.2">
      <c r="A399" s="2"/>
      <c r="B399" s="2"/>
      <c r="C399" s="2"/>
      <c r="D399" s="2"/>
      <c r="E399" s="2"/>
      <c r="F399" s="2"/>
      <c r="G399" s="2"/>
      <c r="H399" s="2"/>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row>
    <row r="400" spans="1:77" x14ac:dyDescent="0.2">
      <c r="A400" s="2"/>
      <c r="B400" s="2"/>
      <c r="C400" s="2"/>
      <c r="D400" s="2"/>
      <c r="E400" s="2"/>
      <c r="F400" s="2"/>
      <c r="G400" s="2"/>
      <c r="H400" s="2"/>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row>
    <row r="401" spans="1:77" x14ac:dyDescent="0.2">
      <c r="A401" s="2"/>
      <c r="B401" s="2"/>
      <c r="C401" s="2"/>
      <c r="D401" s="2"/>
      <c r="E401" s="2"/>
      <c r="F401" s="2"/>
      <c r="G401" s="2"/>
      <c r="H401" s="2"/>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row>
    <row r="402" spans="1:77" x14ac:dyDescent="0.2">
      <c r="A402" s="2"/>
      <c r="B402" s="2"/>
      <c r="C402" s="2"/>
      <c r="D402" s="2"/>
      <c r="E402" s="2"/>
      <c r="F402" s="2"/>
      <c r="G402" s="2"/>
      <c r="H402" s="2"/>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row>
    <row r="403" spans="1:77" x14ac:dyDescent="0.2">
      <c r="A403" s="2"/>
      <c r="B403" s="2"/>
      <c r="C403" s="2"/>
      <c r="D403" s="2"/>
      <c r="E403" s="2"/>
      <c r="F403" s="2"/>
      <c r="G403" s="2"/>
      <c r="H403" s="2"/>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row>
    <row r="404" spans="1:77" x14ac:dyDescent="0.2">
      <c r="A404" s="2"/>
      <c r="B404" s="2"/>
      <c r="C404" s="2"/>
      <c r="D404" s="2"/>
      <c r="E404" s="2"/>
      <c r="F404" s="2"/>
      <c r="G404" s="2"/>
      <c r="H404" s="2"/>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row>
    <row r="405" spans="1:77" x14ac:dyDescent="0.2">
      <c r="A405" s="2"/>
      <c r="B405" s="2"/>
      <c r="C405" s="2"/>
      <c r="D405" s="2"/>
      <c r="E405" s="2"/>
      <c r="F405" s="2"/>
      <c r="G405" s="2"/>
      <c r="H405" s="2"/>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row>
    <row r="406" spans="1:77" x14ac:dyDescent="0.2">
      <c r="A406" s="2"/>
      <c r="B406" s="2"/>
      <c r="C406" s="2"/>
      <c r="D406" s="2"/>
      <c r="E406" s="2"/>
      <c r="F406" s="2"/>
      <c r="G406" s="2"/>
      <c r="H406" s="2"/>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row>
    <row r="407" spans="1:77" x14ac:dyDescent="0.2">
      <c r="A407" s="2"/>
      <c r="B407" s="2"/>
      <c r="C407" s="2"/>
      <c r="D407" s="2"/>
      <c r="E407" s="2"/>
      <c r="F407" s="2"/>
      <c r="G407" s="2"/>
      <c r="H407" s="2"/>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row>
    <row r="408" spans="1:77" x14ac:dyDescent="0.2">
      <c r="A408" s="2"/>
      <c r="B408" s="2"/>
      <c r="C408" s="2"/>
      <c r="D408" s="2"/>
      <c r="E408" s="2"/>
      <c r="F408" s="2"/>
      <c r="G408" s="2"/>
      <c r="H408" s="2"/>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row>
    <row r="409" spans="1:77" x14ac:dyDescent="0.2">
      <c r="A409" s="2"/>
      <c r="B409" s="2"/>
      <c r="C409" s="2"/>
      <c r="D409" s="2"/>
      <c r="E409" s="2"/>
      <c r="F409" s="2"/>
      <c r="G409" s="2"/>
      <c r="H409" s="2"/>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row>
    <row r="410" spans="1:77" x14ac:dyDescent="0.2">
      <c r="A410" s="2"/>
      <c r="B410" s="2"/>
      <c r="C410" s="2"/>
      <c r="D410" s="2"/>
      <c r="E410" s="2"/>
      <c r="F410" s="2"/>
      <c r="G410" s="2"/>
      <c r="H410" s="2"/>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row>
    <row r="411" spans="1:77" x14ac:dyDescent="0.2">
      <c r="A411" s="2"/>
      <c r="B411" s="2"/>
      <c r="C411" s="2"/>
      <c r="D411" s="2"/>
      <c r="E411" s="2"/>
      <c r="F411" s="2"/>
      <c r="G411" s="2"/>
      <c r="H411" s="2"/>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row>
    <row r="412" spans="1:77" x14ac:dyDescent="0.2">
      <c r="A412" s="2"/>
      <c r="B412" s="2"/>
      <c r="C412" s="2"/>
      <c r="D412" s="2"/>
      <c r="E412" s="2"/>
      <c r="F412" s="2"/>
      <c r="G412" s="2"/>
      <c r="H412" s="2"/>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row>
    <row r="413" spans="1:77" x14ac:dyDescent="0.2">
      <c r="A413" s="2"/>
      <c r="B413" s="2"/>
      <c r="C413" s="2"/>
      <c r="D413" s="2"/>
      <c r="E413" s="2"/>
      <c r="F413" s="2"/>
      <c r="G413" s="2"/>
      <c r="H413" s="2"/>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row>
    <row r="414" spans="1:77" x14ac:dyDescent="0.2">
      <c r="A414" s="2"/>
      <c r="B414" s="2"/>
      <c r="C414" s="2"/>
      <c r="D414" s="2"/>
      <c r="E414" s="2"/>
      <c r="F414" s="2"/>
      <c r="G414" s="2"/>
      <c r="H414" s="2"/>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row>
    <row r="415" spans="1:77" x14ac:dyDescent="0.2">
      <c r="A415" s="2"/>
      <c r="B415" s="2"/>
      <c r="C415" s="2"/>
      <c r="D415" s="2"/>
      <c r="E415" s="2"/>
      <c r="F415" s="2"/>
      <c r="G415" s="2"/>
      <c r="H415" s="2"/>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row>
    <row r="416" spans="1:77" x14ac:dyDescent="0.2">
      <c r="A416" s="2"/>
      <c r="B416" s="2"/>
      <c r="C416" s="2"/>
      <c r="D416" s="2"/>
      <c r="E416" s="2"/>
      <c r="F416" s="2"/>
      <c r="G416" s="2"/>
      <c r="H416" s="2"/>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row>
    <row r="417" spans="1:77" x14ac:dyDescent="0.2">
      <c r="A417" s="2"/>
      <c r="B417" s="2"/>
      <c r="C417" s="2"/>
      <c r="D417" s="2"/>
      <c r="E417" s="2"/>
      <c r="F417" s="2"/>
      <c r="G417" s="2"/>
      <c r="H417" s="2"/>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row>
    <row r="418" spans="1:77" x14ac:dyDescent="0.2">
      <c r="A418" s="2"/>
      <c r="B418" s="2"/>
      <c r="C418" s="2"/>
      <c r="D418" s="2"/>
      <c r="E418" s="2"/>
      <c r="F418" s="2"/>
      <c r="G418" s="2"/>
      <c r="H418" s="2"/>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row>
    <row r="419" spans="1:77" x14ac:dyDescent="0.2">
      <c r="A419" s="2"/>
      <c r="B419" s="2"/>
      <c r="C419" s="2"/>
      <c r="D419" s="2"/>
      <c r="E419" s="2"/>
      <c r="F419" s="2"/>
      <c r="G419" s="2"/>
      <c r="H419" s="2"/>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row>
    <row r="420" spans="1:77" x14ac:dyDescent="0.2">
      <c r="A420" s="2"/>
      <c r="B420" s="2"/>
      <c r="C420" s="2"/>
      <c r="D420" s="2"/>
      <c r="E420" s="2"/>
      <c r="F420" s="2"/>
      <c r="G420" s="2"/>
      <c r="H420" s="2"/>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row>
    <row r="421" spans="1:77" x14ac:dyDescent="0.2">
      <c r="A421" s="2"/>
      <c r="B421" s="2"/>
      <c r="C421" s="2"/>
      <c r="D421" s="2"/>
      <c r="E421" s="2"/>
      <c r="F421" s="2"/>
      <c r="G421" s="2"/>
      <c r="H421" s="2"/>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row>
    <row r="422" spans="1:77" x14ac:dyDescent="0.2">
      <c r="A422" s="2"/>
      <c r="B422" s="2"/>
      <c r="C422" s="2"/>
      <c r="D422" s="2"/>
      <c r="E422" s="2"/>
      <c r="F422" s="2"/>
      <c r="G422" s="2"/>
      <c r="H422" s="2"/>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row>
    <row r="423" spans="1:77" x14ac:dyDescent="0.2">
      <c r="A423" s="2"/>
      <c r="B423" s="2"/>
      <c r="C423" s="2"/>
      <c r="D423" s="2"/>
      <c r="E423" s="2"/>
      <c r="F423" s="2"/>
      <c r="G423" s="2"/>
      <c r="H423" s="2"/>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row>
    <row r="424" spans="1:77" x14ac:dyDescent="0.2">
      <c r="A424" s="2"/>
      <c r="B424" s="2"/>
      <c r="C424" s="2"/>
      <c r="D424" s="2"/>
      <c r="E424" s="2"/>
      <c r="F424" s="2"/>
      <c r="G424" s="2"/>
      <c r="H424" s="2"/>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row>
    <row r="425" spans="1:77" x14ac:dyDescent="0.2">
      <c r="A425" s="2"/>
      <c r="B425" s="2"/>
      <c r="C425" s="2"/>
      <c r="D425" s="2"/>
      <c r="E425" s="2"/>
      <c r="F425" s="2"/>
      <c r="G425" s="2"/>
      <c r="H425" s="2"/>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row>
    <row r="426" spans="1:77" x14ac:dyDescent="0.2">
      <c r="A426" s="2"/>
      <c r="B426" s="2"/>
      <c r="C426" s="2"/>
      <c r="D426" s="2"/>
      <c r="E426" s="2"/>
      <c r="F426" s="2"/>
      <c r="G426" s="2"/>
      <c r="H426" s="2"/>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row>
    <row r="427" spans="1:77" x14ac:dyDescent="0.2">
      <c r="A427" s="2"/>
      <c r="B427" s="2"/>
      <c r="C427" s="2"/>
      <c r="D427" s="2"/>
      <c r="E427" s="2"/>
      <c r="F427" s="2"/>
      <c r="G427" s="2"/>
      <c r="H427" s="2"/>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row>
    <row r="428" spans="1:77" x14ac:dyDescent="0.2">
      <c r="A428" s="2"/>
      <c r="B428" s="2"/>
      <c r="C428" s="2"/>
      <c r="D428" s="2"/>
      <c r="E428" s="2"/>
      <c r="F428" s="2"/>
      <c r="G428" s="2"/>
      <c r="H428" s="2"/>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row>
    <row r="429" spans="1:77" x14ac:dyDescent="0.2">
      <c r="A429" s="2"/>
      <c r="B429" s="2"/>
      <c r="C429" s="2"/>
      <c r="D429" s="2"/>
      <c r="E429" s="2"/>
      <c r="F429" s="2"/>
      <c r="G429" s="2"/>
      <c r="H429" s="2"/>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row>
    <row r="430" spans="1:77" x14ac:dyDescent="0.2">
      <c r="A430" s="2"/>
      <c r="B430" s="2"/>
      <c r="C430" s="2"/>
      <c r="D430" s="2"/>
      <c r="E430" s="2"/>
      <c r="F430" s="2"/>
      <c r="G430" s="2"/>
      <c r="H430" s="2"/>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row>
    <row r="431" spans="1:77" x14ac:dyDescent="0.2">
      <c r="A431" s="2"/>
      <c r="B431" s="2"/>
      <c r="C431" s="2"/>
      <c r="D431" s="2"/>
      <c r="E431" s="2"/>
      <c r="F431" s="2"/>
      <c r="G431" s="2"/>
      <c r="H431" s="2"/>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row>
    <row r="432" spans="1:77" x14ac:dyDescent="0.2">
      <c r="A432" s="2"/>
      <c r="B432" s="2"/>
      <c r="C432" s="2"/>
      <c r="D432" s="2"/>
      <c r="E432" s="2"/>
      <c r="F432" s="2"/>
      <c r="G432" s="2"/>
      <c r="H432" s="2"/>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row>
    <row r="433" spans="1:77" x14ac:dyDescent="0.2">
      <c r="A433" s="2"/>
      <c r="B433" s="2"/>
      <c r="C433" s="2"/>
      <c r="D433" s="2"/>
      <c r="E433" s="2"/>
      <c r="F433" s="2"/>
      <c r="G433" s="2"/>
      <c r="H433" s="2"/>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row>
    <row r="434" spans="1:77" x14ac:dyDescent="0.2">
      <c r="A434" s="2"/>
      <c r="B434" s="2"/>
      <c r="C434" s="2"/>
      <c r="D434" s="2"/>
      <c r="E434" s="2"/>
      <c r="F434" s="2"/>
      <c r="G434" s="2"/>
      <c r="H434" s="2"/>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row>
    <row r="435" spans="1:77" x14ac:dyDescent="0.2">
      <c r="A435" s="2"/>
      <c r="B435" s="2"/>
      <c r="C435" s="2"/>
      <c r="D435" s="2"/>
      <c r="E435" s="2"/>
      <c r="F435" s="2"/>
      <c r="G435" s="2"/>
      <c r="H435" s="2"/>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row>
    <row r="436" spans="1:77" x14ac:dyDescent="0.2">
      <c r="A436" s="2"/>
      <c r="B436" s="2"/>
      <c r="C436" s="2"/>
      <c r="D436" s="2"/>
      <c r="E436" s="2"/>
      <c r="F436" s="2"/>
      <c r="G436" s="2"/>
      <c r="H436" s="2"/>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row>
    <row r="437" spans="1:77" x14ac:dyDescent="0.2">
      <c r="A437" s="2"/>
      <c r="B437" s="2"/>
      <c r="C437" s="2"/>
      <c r="D437" s="2"/>
      <c r="E437" s="2"/>
      <c r="F437" s="2"/>
      <c r="G437" s="2"/>
      <c r="H437" s="2"/>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row>
    <row r="438" spans="1:77" x14ac:dyDescent="0.2">
      <c r="A438" s="2"/>
      <c r="B438" s="2"/>
      <c r="C438" s="2"/>
      <c r="D438" s="2"/>
      <c r="E438" s="2"/>
      <c r="F438" s="2"/>
      <c r="G438" s="2"/>
      <c r="H438" s="2"/>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row>
    <row r="439" spans="1:77" x14ac:dyDescent="0.2">
      <c r="A439" s="2"/>
      <c r="B439" s="2"/>
      <c r="C439" s="2"/>
      <c r="D439" s="2"/>
      <c r="E439" s="2"/>
      <c r="F439" s="2"/>
      <c r="G439" s="2"/>
      <c r="H439" s="2"/>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row>
    <row r="440" spans="1:77" x14ac:dyDescent="0.2">
      <c r="A440" s="2"/>
      <c r="B440" s="2"/>
      <c r="C440" s="2"/>
      <c r="D440" s="2"/>
      <c r="E440" s="2"/>
      <c r="F440" s="2"/>
      <c r="G440" s="2"/>
      <c r="H440" s="2"/>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row>
    <row r="441" spans="1:77" x14ac:dyDescent="0.2">
      <c r="A441" s="2"/>
      <c r="B441" s="2"/>
      <c r="C441" s="2"/>
      <c r="D441" s="2"/>
      <c r="E441" s="2"/>
      <c r="F441" s="2"/>
      <c r="G441" s="2"/>
      <c r="H441" s="2"/>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row>
    <row r="442" spans="1:77" x14ac:dyDescent="0.2">
      <c r="A442" s="2"/>
      <c r="B442" s="2"/>
      <c r="C442" s="2"/>
      <c r="D442" s="2"/>
      <c r="E442" s="2"/>
      <c r="F442" s="2"/>
      <c r="G442" s="2"/>
      <c r="H442" s="2"/>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row>
    <row r="443" spans="1:77" x14ac:dyDescent="0.2">
      <c r="A443" s="2"/>
      <c r="B443" s="2"/>
      <c r="C443" s="2"/>
      <c r="D443" s="2"/>
      <c r="E443" s="2"/>
      <c r="F443" s="2"/>
      <c r="G443" s="2"/>
      <c r="H443" s="2"/>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row>
    <row r="444" spans="1:77" x14ac:dyDescent="0.2">
      <c r="A444" s="2"/>
      <c r="B444" s="2"/>
      <c r="C444" s="2"/>
      <c r="D444" s="2"/>
      <c r="E444" s="2"/>
      <c r="F444" s="2"/>
      <c r="G444" s="2"/>
      <c r="H444" s="2"/>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row>
    <row r="445" spans="1:77" x14ac:dyDescent="0.2">
      <c r="A445" s="2"/>
      <c r="B445" s="2"/>
      <c r="C445" s="2"/>
      <c r="D445" s="2"/>
      <c r="E445" s="2"/>
      <c r="F445" s="2"/>
      <c r="G445" s="2"/>
      <c r="H445" s="2"/>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row>
    <row r="446" spans="1:77" x14ac:dyDescent="0.2">
      <c r="A446" s="2"/>
      <c r="B446" s="2"/>
      <c r="C446" s="2"/>
      <c r="D446" s="2"/>
      <c r="E446" s="2"/>
      <c r="F446" s="2"/>
      <c r="G446" s="2"/>
      <c r="H446" s="2"/>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row>
    <row r="447" spans="1:77" x14ac:dyDescent="0.2">
      <c r="A447" s="2"/>
      <c r="B447" s="2"/>
      <c r="C447" s="2"/>
      <c r="D447" s="2"/>
      <c r="E447" s="2"/>
      <c r="F447" s="2"/>
      <c r="G447" s="2"/>
      <c r="H447" s="2"/>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row>
    <row r="448" spans="1:77" x14ac:dyDescent="0.2">
      <c r="A448" s="2"/>
      <c r="B448" s="2"/>
      <c r="C448" s="2"/>
      <c r="D448" s="2"/>
      <c r="E448" s="2"/>
      <c r="F448" s="2"/>
      <c r="G448" s="2"/>
      <c r="H448" s="2"/>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row>
    <row r="449" spans="1:77" x14ac:dyDescent="0.2">
      <c r="A449" s="2"/>
      <c r="B449" s="2"/>
      <c r="C449" s="2"/>
      <c r="D449" s="2"/>
      <c r="E449" s="2"/>
      <c r="F449" s="2"/>
      <c r="G449" s="2"/>
      <c r="H449" s="2"/>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row>
    <row r="450" spans="1:77" x14ac:dyDescent="0.2">
      <c r="A450" s="2"/>
      <c r="B450" s="2"/>
      <c r="C450" s="2"/>
      <c r="D450" s="2"/>
      <c r="E450" s="2"/>
      <c r="F450" s="2"/>
      <c r="G450" s="2"/>
      <c r="H450" s="2"/>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row>
    <row r="451" spans="1:77" x14ac:dyDescent="0.2">
      <c r="A451" s="2"/>
      <c r="B451" s="2"/>
      <c r="C451" s="2"/>
      <c r="D451" s="2"/>
      <c r="E451" s="2"/>
      <c r="F451" s="2"/>
      <c r="G451" s="2"/>
      <c r="H451" s="2"/>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row>
    <row r="452" spans="1:77" x14ac:dyDescent="0.2">
      <c r="A452" s="2"/>
      <c r="B452" s="2"/>
      <c r="C452" s="2"/>
      <c r="D452" s="2"/>
      <c r="E452" s="2"/>
      <c r="F452" s="2"/>
      <c r="G452" s="2"/>
      <c r="H452" s="2"/>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row>
    <row r="453" spans="1:77" x14ac:dyDescent="0.2">
      <c r="A453" s="2"/>
      <c r="B453" s="2"/>
      <c r="C453" s="2"/>
      <c r="D453" s="2"/>
      <c r="E453" s="2"/>
      <c r="F453" s="2"/>
      <c r="G453" s="2"/>
      <c r="H453" s="2"/>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row>
    <row r="454" spans="1:77" x14ac:dyDescent="0.2">
      <c r="A454" s="2"/>
      <c r="B454" s="2"/>
      <c r="C454" s="2"/>
      <c r="D454" s="2"/>
      <c r="E454" s="2"/>
      <c r="F454" s="2"/>
      <c r="G454" s="2"/>
      <c r="H454" s="2"/>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row>
    <row r="455" spans="1:77" x14ac:dyDescent="0.2">
      <c r="A455" s="2"/>
      <c r="B455" s="2"/>
      <c r="C455" s="2"/>
      <c r="D455" s="2"/>
      <c r="E455" s="2"/>
      <c r="F455" s="2"/>
      <c r="G455" s="2"/>
      <c r="H455" s="2"/>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row>
    <row r="456" spans="1:77" x14ac:dyDescent="0.2">
      <c r="A456" s="2"/>
      <c r="B456" s="2"/>
      <c r="C456" s="2"/>
      <c r="D456" s="2"/>
      <c r="E456" s="2"/>
      <c r="F456" s="2"/>
      <c r="G456" s="2"/>
      <c r="H456" s="2"/>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row>
    <row r="457" spans="1:77" x14ac:dyDescent="0.2">
      <c r="A457" s="2"/>
      <c r="B457" s="2"/>
      <c r="C457" s="2"/>
      <c r="D457" s="2"/>
      <c r="E457" s="2"/>
      <c r="F457" s="2"/>
      <c r="G457" s="2"/>
      <c r="H457" s="2"/>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row>
    <row r="458" spans="1:77" x14ac:dyDescent="0.2">
      <c r="A458" s="2"/>
      <c r="B458" s="2"/>
      <c r="C458" s="2"/>
      <c r="D458" s="2"/>
      <c r="E458" s="2"/>
      <c r="F458" s="2"/>
      <c r="G458" s="2"/>
      <c r="H458" s="2"/>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row>
    <row r="459" spans="1:77" x14ac:dyDescent="0.2">
      <c r="A459" s="2"/>
      <c r="B459" s="2"/>
      <c r="C459" s="2"/>
      <c r="D459" s="2"/>
      <c r="E459" s="2"/>
      <c r="F459" s="2"/>
      <c r="G459" s="2"/>
      <c r="H459" s="2"/>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row>
    <row r="460" spans="1:77" x14ac:dyDescent="0.2">
      <c r="A460" s="2"/>
      <c r="B460" s="2"/>
      <c r="C460" s="2"/>
      <c r="D460" s="2"/>
      <c r="E460" s="2"/>
      <c r="F460" s="2"/>
      <c r="G460" s="2"/>
      <c r="H460" s="2"/>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row>
    <row r="461" spans="1:77" x14ac:dyDescent="0.2">
      <c r="A461" s="2"/>
      <c r="B461" s="2"/>
      <c r="C461" s="2"/>
      <c r="D461" s="2"/>
      <c r="E461" s="2"/>
      <c r="F461" s="2"/>
      <c r="G461" s="2"/>
      <c r="H461" s="2"/>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row>
    <row r="462" spans="1:77" x14ac:dyDescent="0.2">
      <c r="A462" s="2"/>
      <c r="B462" s="2"/>
      <c r="C462" s="2"/>
      <c r="D462" s="2"/>
      <c r="E462" s="2"/>
      <c r="F462" s="2"/>
      <c r="G462" s="2"/>
      <c r="H462" s="2"/>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row>
    <row r="463" spans="1:77" x14ac:dyDescent="0.2">
      <c r="A463" s="2"/>
      <c r="B463" s="2"/>
      <c r="C463" s="2"/>
      <c r="D463" s="2"/>
      <c r="E463" s="2"/>
      <c r="F463" s="2"/>
      <c r="G463" s="2"/>
      <c r="H463" s="2"/>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row>
    <row r="464" spans="1:77" x14ac:dyDescent="0.2">
      <c r="A464" s="2"/>
      <c r="B464" s="2"/>
      <c r="C464" s="2"/>
      <c r="D464" s="2"/>
      <c r="E464" s="2"/>
      <c r="F464" s="2"/>
      <c r="G464" s="2"/>
      <c r="H464" s="2"/>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row>
    <row r="465" spans="1:77" x14ac:dyDescent="0.2">
      <c r="A465" s="2"/>
      <c r="B465" s="2"/>
      <c r="C465" s="2"/>
      <c r="D465" s="2"/>
      <c r="E465" s="2"/>
      <c r="F465" s="2"/>
      <c r="G465" s="2"/>
      <c r="H465" s="2"/>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row>
    <row r="466" spans="1:77" x14ac:dyDescent="0.2">
      <c r="A466" s="2"/>
      <c r="B466" s="2"/>
      <c r="C466" s="2"/>
      <c r="D466" s="2"/>
      <c r="E466" s="2"/>
      <c r="F466" s="2"/>
      <c r="G466" s="2"/>
      <c r="H466" s="2"/>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row>
    <row r="467" spans="1:77" x14ac:dyDescent="0.2">
      <c r="A467" s="2"/>
      <c r="B467" s="2"/>
      <c r="C467" s="2"/>
      <c r="D467" s="2"/>
      <c r="E467" s="2"/>
      <c r="F467" s="2"/>
      <c r="G467" s="2"/>
      <c r="H467" s="2"/>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row>
    <row r="468" spans="1:77" x14ac:dyDescent="0.2">
      <c r="A468" s="2"/>
      <c r="B468" s="2"/>
      <c r="C468" s="2"/>
      <c r="D468" s="2"/>
      <c r="E468" s="2"/>
      <c r="F468" s="2"/>
      <c r="G468" s="2"/>
      <c r="H468" s="2"/>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row>
    <row r="469" spans="1:77" x14ac:dyDescent="0.2">
      <c r="A469" s="2"/>
      <c r="B469" s="2"/>
      <c r="C469" s="2"/>
      <c r="D469" s="2"/>
      <c r="E469" s="2"/>
      <c r="F469" s="2"/>
      <c r="G469" s="2"/>
      <c r="H469" s="2"/>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row>
    <row r="470" spans="1:77" x14ac:dyDescent="0.2">
      <c r="A470" s="2"/>
      <c r="B470" s="2"/>
      <c r="C470" s="2"/>
      <c r="D470" s="2"/>
      <c r="E470" s="2"/>
      <c r="F470" s="2"/>
      <c r="G470" s="2"/>
      <c r="H470" s="2"/>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row>
    <row r="471" spans="1:77" x14ac:dyDescent="0.2">
      <c r="A471" s="2"/>
      <c r="B471" s="2"/>
      <c r="C471" s="2"/>
      <c r="D471" s="2"/>
      <c r="E471" s="2"/>
      <c r="F471" s="2"/>
      <c r="G471" s="2"/>
      <c r="H471" s="2"/>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row>
    <row r="472" spans="1:77" x14ac:dyDescent="0.2">
      <c r="A472" s="2"/>
      <c r="B472" s="2"/>
      <c r="C472" s="2"/>
      <c r="D472" s="2"/>
      <c r="E472" s="2"/>
      <c r="F472" s="2"/>
      <c r="G472" s="2"/>
      <c r="H472" s="2"/>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row>
    <row r="473" spans="1:77" x14ac:dyDescent="0.2">
      <c r="A473" s="2"/>
      <c r="B473" s="2"/>
      <c r="C473" s="2"/>
      <c r="D473" s="2"/>
      <c r="E473" s="2"/>
      <c r="F473" s="2"/>
      <c r="G473" s="2"/>
      <c r="H473" s="2"/>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row>
    <row r="474" spans="1:77" x14ac:dyDescent="0.2">
      <c r="A474" s="2"/>
      <c r="B474" s="2"/>
      <c r="C474" s="2"/>
      <c r="D474" s="2"/>
      <c r="E474" s="2"/>
      <c r="F474" s="2"/>
      <c r="G474" s="2"/>
      <c r="H474" s="2"/>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row>
    <row r="475" spans="1:77" x14ac:dyDescent="0.2">
      <c r="A475" s="2"/>
      <c r="B475" s="2"/>
      <c r="C475" s="2"/>
      <c r="D475" s="2"/>
      <c r="E475" s="2"/>
      <c r="F475" s="2"/>
      <c r="G475" s="2"/>
      <c r="H475" s="2"/>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row>
    <row r="476" spans="1:77" x14ac:dyDescent="0.2">
      <c r="A476" s="2"/>
      <c r="B476" s="2"/>
      <c r="C476" s="2"/>
      <c r="D476" s="2"/>
      <c r="E476" s="2"/>
      <c r="F476" s="2"/>
      <c r="G476" s="2"/>
      <c r="H476" s="2"/>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row>
    <row r="477" spans="1:77" x14ac:dyDescent="0.2">
      <c r="A477" s="2"/>
      <c r="B477" s="2"/>
      <c r="C477" s="2"/>
      <c r="D477" s="2"/>
      <c r="E477" s="2"/>
      <c r="F477" s="2"/>
      <c r="G477" s="2"/>
      <c r="H477" s="2"/>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row>
    <row r="478" spans="1:77" x14ac:dyDescent="0.2">
      <c r="A478" s="2"/>
      <c r="B478" s="2"/>
      <c r="C478" s="2"/>
      <c r="D478" s="2"/>
      <c r="E478" s="2"/>
      <c r="F478" s="2"/>
      <c r="G478" s="2"/>
      <c r="H478" s="2"/>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row>
    <row r="479" spans="1:77" x14ac:dyDescent="0.2">
      <c r="A479" s="2"/>
      <c r="B479" s="2"/>
      <c r="C479" s="2"/>
      <c r="D479" s="2"/>
      <c r="E479" s="2"/>
      <c r="F479" s="2"/>
      <c r="G479" s="2"/>
      <c r="H479" s="2"/>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row>
    <row r="480" spans="1:77" x14ac:dyDescent="0.2">
      <c r="A480" s="2"/>
      <c r="B480" s="2"/>
      <c r="C480" s="2"/>
      <c r="D480" s="2"/>
      <c r="E480" s="2"/>
      <c r="F480" s="2"/>
      <c r="G480" s="2"/>
      <c r="H480" s="2"/>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row>
    <row r="481" spans="1:77" x14ac:dyDescent="0.2">
      <c r="A481" s="2"/>
      <c r="B481" s="2"/>
      <c r="C481" s="2"/>
      <c r="D481" s="2"/>
      <c r="E481" s="2"/>
      <c r="F481" s="2"/>
      <c r="G481" s="2"/>
      <c r="H481" s="2"/>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row>
    <row r="482" spans="1:77" x14ac:dyDescent="0.2">
      <c r="A482" s="2"/>
      <c r="B482" s="2"/>
      <c r="C482" s="2"/>
      <c r="D482" s="2"/>
      <c r="E482" s="2"/>
      <c r="F482" s="2"/>
      <c r="G482" s="2"/>
      <c r="H482" s="2"/>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row>
    <row r="483" spans="1:77" x14ac:dyDescent="0.2">
      <c r="A483" s="2"/>
      <c r="B483" s="2"/>
      <c r="C483" s="2"/>
      <c r="D483" s="2"/>
      <c r="E483" s="2"/>
      <c r="F483" s="2"/>
      <c r="G483" s="2"/>
      <c r="H483" s="2"/>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row>
    <row r="484" spans="1:77" x14ac:dyDescent="0.2">
      <c r="A484" s="2"/>
      <c r="B484" s="2"/>
      <c r="C484" s="2"/>
      <c r="D484" s="2"/>
      <c r="E484" s="2"/>
      <c r="F484" s="2"/>
      <c r="G484" s="2"/>
      <c r="H484" s="2"/>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row>
    <row r="485" spans="1:77" x14ac:dyDescent="0.2">
      <c r="A485" s="2"/>
      <c r="B485" s="2"/>
      <c r="C485" s="2"/>
      <c r="D485" s="2"/>
      <c r="E485" s="2"/>
      <c r="F485" s="2"/>
      <c r="G485" s="2"/>
      <c r="H485" s="2"/>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row>
    <row r="486" spans="1:77" x14ac:dyDescent="0.2">
      <c r="A486" s="2"/>
      <c r="B486" s="2"/>
      <c r="C486" s="2"/>
      <c r="D486" s="2"/>
      <c r="E486" s="2"/>
      <c r="F486" s="2"/>
      <c r="G486" s="2"/>
      <c r="H486" s="2"/>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row>
    <row r="487" spans="1:77" x14ac:dyDescent="0.2">
      <c r="A487" s="2"/>
      <c r="B487" s="2"/>
      <c r="C487" s="2"/>
      <c r="D487" s="2"/>
      <c r="E487" s="2"/>
      <c r="F487" s="2"/>
      <c r="G487" s="2"/>
      <c r="H487" s="2"/>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row>
    <row r="488" spans="1:77" x14ac:dyDescent="0.2">
      <c r="A488" s="2"/>
      <c r="B488" s="2"/>
      <c r="C488" s="2"/>
      <c r="D488" s="2"/>
      <c r="E488" s="2"/>
      <c r="F488" s="2"/>
      <c r="G488" s="2"/>
      <c r="H488" s="2"/>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row>
    <row r="489" spans="1:77" x14ac:dyDescent="0.2">
      <c r="A489" s="2"/>
      <c r="B489" s="2"/>
      <c r="C489" s="2"/>
      <c r="D489" s="2"/>
      <c r="E489" s="2"/>
      <c r="F489" s="2"/>
      <c r="G489" s="2"/>
      <c r="H489" s="2"/>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row>
    <row r="490" spans="1:77" x14ac:dyDescent="0.2">
      <c r="A490" s="2"/>
      <c r="B490" s="2"/>
      <c r="C490" s="2"/>
      <c r="D490" s="2"/>
      <c r="E490" s="2"/>
      <c r="F490" s="2"/>
      <c r="G490" s="2"/>
      <c r="H490" s="2"/>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row>
    <row r="491" spans="1:77" x14ac:dyDescent="0.2">
      <c r="A491" s="2"/>
      <c r="B491" s="2"/>
      <c r="C491" s="2"/>
      <c r="D491" s="2"/>
      <c r="E491" s="2"/>
      <c r="F491" s="2"/>
      <c r="G491" s="2"/>
      <c r="H491" s="2"/>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row>
    <row r="492" spans="1:77" x14ac:dyDescent="0.2">
      <c r="A492" s="2"/>
      <c r="B492" s="2"/>
      <c r="C492" s="2"/>
      <c r="D492" s="2"/>
      <c r="E492" s="2"/>
      <c r="F492" s="2"/>
      <c r="G492" s="2"/>
      <c r="H492" s="2"/>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row>
    <row r="493" spans="1:77" x14ac:dyDescent="0.2">
      <c r="A493" s="2"/>
      <c r="B493" s="2"/>
      <c r="C493" s="2"/>
      <c r="D493" s="2"/>
      <c r="E493" s="2"/>
      <c r="F493" s="2"/>
      <c r="G493" s="2"/>
      <c r="H493" s="2"/>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row>
    <row r="494" spans="1:77" x14ac:dyDescent="0.2">
      <c r="A494" s="2"/>
      <c r="B494" s="2"/>
      <c r="C494" s="2"/>
      <c r="D494" s="2"/>
      <c r="E494" s="2"/>
      <c r="F494" s="2"/>
      <c r="G494" s="2"/>
      <c r="H494" s="2"/>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row>
    <row r="495" spans="1:77" x14ac:dyDescent="0.2">
      <c r="A495" s="2"/>
      <c r="B495" s="2"/>
      <c r="C495" s="2"/>
      <c r="D495" s="2"/>
      <c r="E495" s="2"/>
      <c r="F495" s="2"/>
      <c r="G495" s="2"/>
      <c r="H495" s="2"/>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row>
    <row r="496" spans="1:77" x14ac:dyDescent="0.2">
      <c r="A496" s="2"/>
      <c r="B496" s="2"/>
      <c r="C496" s="2"/>
      <c r="D496" s="2"/>
      <c r="E496" s="2"/>
      <c r="F496" s="2"/>
      <c r="G496" s="2"/>
      <c r="H496" s="2"/>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row>
    <row r="497" spans="1:77" x14ac:dyDescent="0.2">
      <c r="A497" s="2"/>
      <c r="B497" s="2"/>
      <c r="C497" s="2"/>
      <c r="D497" s="2"/>
      <c r="E497" s="2"/>
      <c r="F497" s="2"/>
      <c r="G497" s="2"/>
      <c r="H497" s="2"/>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row>
    <row r="498" spans="1:77" x14ac:dyDescent="0.2">
      <c r="A498" s="2"/>
      <c r="B498" s="2"/>
      <c r="C498" s="2"/>
      <c r="D498" s="2"/>
      <c r="E498" s="2"/>
      <c r="F498" s="2"/>
      <c r="G498" s="2"/>
      <c r="H498" s="2"/>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row>
    <row r="499" spans="1:77" x14ac:dyDescent="0.2">
      <c r="A499" s="2"/>
      <c r="B499" s="2"/>
      <c r="C499" s="2"/>
      <c r="D499" s="2"/>
      <c r="E499" s="2"/>
      <c r="F499" s="2"/>
      <c r="G499" s="2"/>
      <c r="H499" s="2"/>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row>
    <row r="500" spans="1:77" x14ac:dyDescent="0.2">
      <c r="A500" s="2"/>
      <c r="B500" s="2"/>
      <c r="C500" s="2"/>
      <c r="D500" s="2"/>
      <c r="E500" s="2"/>
      <c r="F500" s="2"/>
      <c r="G500" s="2"/>
      <c r="H500" s="2"/>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row>
    <row r="501" spans="1:77" x14ac:dyDescent="0.2">
      <c r="A501" s="2"/>
      <c r="B501" s="2"/>
      <c r="C501" s="2"/>
      <c r="D501" s="2"/>
      <c r="E501" s="2"/>
      <c r="F501" s="2"/>
      <c r="G501" s="2"/>
      <c r="H501" s="2"/>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row>
    <row r="502" spans="1:77" x14ac:dyDescent="0.2">
      <c r="A502" s="2"/>
      <c r="B502" s="2"/>
      <c r="C502" s="2"/>
      <c r="D502" s="2"/>
      <c r="E502" s="2"/>
      <c r="F502" s="2"/>
      <c r="G502" s="2"/>
      <c r="H502" s="2"/>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row>
    <row r="503" spans="1:77" x14ac:dyDescent="0.2">
      <c r="A503" s="2"/>
      <c r="B503" s="2"/>
      <c r="C503" s="2"/>
      <c r="D503" s="2"/>
      <c r="E503" s="2"/>
      <c r="F503" s="2"/>
      <c r="G503" s="2"/>
      <c r="H503" s="2"/>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row>
    <row r="504" spans="1:77" x14ac:dyDescent="0.2">
      <c r="A504" s="2"/>
      <c r="B504" s="2"/>
      <c r="C504" s="2"/>
      <c r="D504" s="2"/>
      <c r="E504" s="2"/>
      <c r="F504" s="2"/>
      <c r="G504" s="2"/>
      <c r="H504" s="2"/>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row>
    <row r="505" spans="1:77" x14ac:dyDescent="0.2">
      <c r="A505" s="2"/>
      <c r="B505" s="2"/>
      <c r="C505" s="2"/>
      <c r="D505" s="2"/>
      <c r="E505" s="2"/>
      <c r="F505" s="2"/>
      <c r="G505" s="2"/>
      <c r="H505" s="2"/>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row>
    <row r="506" spans="1:77" x14ac:dyDescent="0.2">
      <c r="A506" s="2"/>
      <c r="B506" s="2"/>
      <c r="C506" s="2"/>
      <c r="D506" s="2"/>
      <c r="E506" s="2"/>
      <c r="F506" s="2"/>
      <c r="G506" s="2"/>
      <c r="H506" s="2"/>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row>
    <row r="507" spans="1:77" x14ac:dyDescent="0.2">
      <c r="A507" s="2"/>
      <c r="B507" s="2"/>
      <c r="C507" s="2"/>
      <c r="D507" s="2"/>
      <c r="E507" s="2"/>
      <c r="F507" s="2"/>
      <c r="G507" s="2"/>
      <c r="H507" s="2"/>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row>
    <row r="508" spans="1:77" x14ac:dyDescent="0.2">
      <c r="A508" s="2"/>
      <c r="B508" s="2"/>
      <c r="C508" s="2"/>
      <c r="D508" s="2"/>
      <c r="E508" s="2"/>
      <c r="F508" s="2"/>
      <c r="G508" s="2"/>
      <c r="H508" s="2"/>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row>
    <row r="509" spans="1:77" x14ac:dyDescent="0.2">
      <c r="A509" s="2"/>
      <c r="B509" s="2"/>
      <c r="C509" s="2"/>
      <c r="D509" s="2"/>
      <c r="E509" s="2"/>
      <c r="F509" s="2"/>
      <c r="G509" s="2"/>
      <c r="H509" s="2"/>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row>
    <row r="510" spans="1:77" x14ac:dyDescent="0.2">
      <c r="A510" s="2"/>
      <c r="B510" s="2"/>
      <c r="C510" s="2"/>
      <c r="D510" s="2"/>
      <c r="E510" s="2"/>
      <c r="F510" s="2"/>
      <c r="G510" s="2"/>
      <c r="H510" s="2"/>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row>
    <row r="511" spans="1:77" x14ac:dyDescent="0.2">
      <c r="A511" s="2"/>
      <c r="B511" s="2"/>
      <c r="C511" s="2"/>
      <c r="D511" s="2"/>
      <c r="E511" s="2"/>
      <c r="F511" s="2"/>
      <c r="G511" s="2"/>
      <c r="H511" s="2"/>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row>
    <row r="512" spans="1:77" x14ac:dyDescent="0.2">
      <c r="A512" s="2"/>
      <c r="B512" s="2"/>
      <c r="C512" s="2"/>
      <c r="D512" s="2"/>
      <c r="E512" s="2"/>
      <c r="F512" s="2"/>
      <c r="G512" s="2"/>
      <c r="H512" s="2"/>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row>
    <row r="513" spans="1:77" x14ac:dyDescent="0.2">
      <c r="A513" s="2"/>
      <c r="B513" s="2"/>
      <c r="C513" s="2"/>
      <c r="D513" s="2"/>
      <c r="E513" s="2"/>
      <c r="F513" s="2"/>
      <c r="G513" s="2"/>
      <c r="H513" s="2"/>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row>
    <row r="514" spans="1:77" x14ac:dyDescent="0.2">
      <c r="A514" s="2"/>
      <c r="B514" s="2"/>
      <c r="C514" s="2"/>
      <c r="D514" s="2"/>
      <c r="E514" s="2"/>
      <c r="F514" s="2"/>
      <c r="G514" s="2"/>
      <c r="H514" s="2"/>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row>
    <row r="515" spans="1:77" x14ac:dyDescent="0.2">
      <c r="A515" s="2"/>
      <c r="B515" s="2"/>
      <c r="C515" s="2"/>
      <c r="D515" s="2"/>
      <c r="E515" s="2"/>
      <c r="F515" s="2"/>
      <c r="G515" s="2"/>
      <c r="H515" s="2"/>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row>
    <row r="516" spans="1:77" x14ac:dyDescent="0.2">
      <c r="A516" s="2"/>
      <c r="B516" s="2"/>
      <c r="C516" s="2"/>
      <c r="D516" s="2"/>
      <c r="E516" s="2"/>
      <c r="F516" s="2"/>
      <c r="G516" s="2"/>
      <c r="H516" s="2"/>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row>
    <row r="517" spans="1:77" x14ac:dyDescent="0.2">
      <c r="A517" s="2"/>
      <c r="B517" s="2"/>
      <c r="C517" s="2"/>
      <c r="D517" s="2"/>
      <c r="E517" s="2"/>
      <c r="F517" s="2"/>
      <c r="G517" s="2"/>
      <c r="H517" s="2"/>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row>
    <row r="518" spans="1:77" x14ac:dyDescent="0.2">
      <c r="A518" s="2"/>
      <c r="B518" s="2"/>
      <c r="C518" s="2"/>
      <c r="D518" s="2"/>
      <c r="E518" s="2"/>
      <c r="F518" s="2"/>
      <c r="G518" s="2"/>
      <c r="H518" s="2"/>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row>
    <row r="519" spans="1:77" x14ac:dyDescent="0.2">
      <c r="A519" s="2"/>
      <c r="B519" s="2"/>
      <c r="C519" s="2"/>
      <c r="D519" s="2"/>
      <c r="E519" s="2"/>
      <c r="F519" s="2"/>
      <c r="G519" s="2"/>
      <c r="H519" s="2"/>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row>
    <row r="520" spans="1:77" x14ac:dyDescent="0.2">
      <c r="A520" s="2"/>
      <c r="B520" s="2"/>
      <c r="C520" s="2"/>
      <c r="D520" s="2"/>
      <c r="E520" s="2"/>
      <c r="F520" s="2"/>
      <c r="G520" s="2"/>
      <c r="H520" s="2"/>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row>
    <row r="521" spans="1:77" x14ac:dyDescent="0.2">
      <c r="A521" s="2"/>
      <c r="B521" s="2"/>
      <c r="C521" s="2"/>
      <c r="D521" s="2"/>
      <c r="E521" s="2"/>
      <c r="F521" s="2"/>
      <c r="G521" s="2"/>
      <c r="H521" s="2"/>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row>
    <row r="522" spans="1:77" x14ac:dyDescent="0.2">
      <c r="A522" s="2"/>
      <c r="B522" s="2"/>
      <c r="C522" s="2"/>
      <c r="D522" s="2"/>
      <c r="E522" s="2"/>
      <c r="F522" s="2"/>
      <c r="G522" s="2"/>
      <c r="H522" s="2"/>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row>
    <row r="523" spans="1:77" x14ac:dyDescent="0.2">
      <c r="A523" s="2"/>
      <c r="B523" s="2"/>
      <c r="C523" s="2"/>
      <c r="D523" s="2"/>
      <c r="E523" s="2"/>
      <c r="F523" s="2"/>
      <c r="G523" s="2"/>
      <c r="H523" s="2"/>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row>
    <row r="524" spans="1:77" x14ac:dyDescent="0.2">
      <c r="A524" s="2"/>
      <c r="B524" s="2"/>
      <c r="C524" s="2"/>
      <c r="D524" s="2"/>
      <c r="E524" s="2"/>
      <c r="F524" s="2"/>
      <c r="G524" s="2"/>
      <c r="H524" s="2"/>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row>
    <row r="525" spans="1:77" x14ac:dyDescent="0.2">
      <c r="A525" s="2"/>
      <c r="B525" s="2"/>
      <c r="C525" s="2"/>
      <c r="D525" s="2"/>
      <c r="E525" s="2"/>
      <c r="F525" s="2"/>
      <c r="G525" s="2"/>
      <c r="H525" s="2"/>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row>
    <row r="526" spans="1:77" x14ac:dyDescent="0.2">
      <c r="A526" s="2"/>
      <c r="B526" s="2"/>
      <c r="C526" s="2"/>
      <c r="D526" s="2"/>
      <c r="E526" s="2"/>
      <c r="F526" s="2"/>
      <c r="G526" s="2"/>
      <c r="H526" s="2"/>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row>
    <row r="527" spans="1:77" x14ac:dyDescent="0.2">
      <c r="A527" s="2"/>
      <c r="B527" s="2"/>
      <c r="C527" s="2"/>
      <c r="D527" s="2"/>
      <c r="E527" s="2"/>
      <c r="F527" s="2"/>
      <c r="G527" s="2"/>
      <c r="H527" s="2"/>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row>
    <row r="528" spans="1:77" x14ac:dyDescent="0.2">
      <c r="A528" s="2"/>
      <c r="B528" s="2"/>
      <c r="C528" s="2"/>
      <c r="D528" s="2"/>
      <c r="E528" s="2"/>
      <c r="F528" s="2"/>
      <c r="G528" s="2"/>
      <c r="H528" s="2"/>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row>
    <row r="529" spans="1:77" x14ac:dyDescent="0.2">
      <c r="A529" s="2"/>
      <c r="B529" s="2"/>
      <c r="C529" s="2"/>
      <c r="D529" s="2"/>
      <c r="E529" s="2"/>
      <c r="F529" s="2"/>
      <c r="G529" s="2"/>
      <c r="H529" s="2"/>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row>
    <row r="530" spans="1:77" x14ac:dyDescent="0.2">
      <c r="A530" s="2"/>
      <c r="B530" s="2"/>
      <c r="C530" s="2"/>
      <c r="D530" s="2"/>
      <c r="E530" s="2"/>
      <c r="F530" s="2"/>
      <c r="G530" s="2"/>
      <c r="H530" s="2"/>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row>
    <row r="531" spans="1:77" x14ac:dyDescent="0.2">
      <c r="A531" s="2"/>
      <c r="B531" s="2"/>
      <c r="C531" s="2"/>
      <c r="D531" s="2"/>
      <c r="E531" s="2"/>
      <c r="F531" s="2"/>
      <c r="G531" s="2"/>
      <c r="H531" s="2"/>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row>
    <row r="532" spans="1:77" x14ac:dyDescent="0.2">
      <c r="A532" s="2"/>
      <c r="B532" s="2"/>
      <c r="C532" s="2"/>
      <c r="D532" s="2"/>
      <c r="E532" s="2"/>
      <c r="F532" s="2"/>
      <c r="G532" s="2"/>
      <c r="H532" s="2"/>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row>
    <row r="533" spans="1:77" x14ac:dyDescent="0.2">
      <c r="A533" s="2"/>
      <c r="B533" s="2"/>
      <c r="C533" s="2"/>
      <c r="D533" s="2"/>
      <c r="E533" s="2"/>
      <c r="F533" s="2"/>
      <c r="G533" s="2"/>
      <c r="H533" s="2"/>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row>
    <row r="534" spans="1:77" x14ac:dyDescent="0.2">
      <c r="A534" s="2"/>
      <c r="B534" s="2"/>
      <c r="C534" s="2"/>
      <c r="D534" s="2"/>
      <c r="E534" s="2"/>
      <c r="F534" s="2"/>
      <c r="G534" s="2"/>
      <c r="H534" s="2"/>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row>
    <row r="535" spans="1:77" x14ac:dyDescent="0.2">
      <c r="A535" s="2"/>
      <c r="B535" s="2"/>
      <c r="C535" s="2"/>
      <c r="D535" s="2"/>
      <c r="E535" s="2"/>
      <c r="F535" s="2"/>
      <c r="G535" s="2"/>
      <c r="H535" s="2"/>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row>
    <row r="536" spans="1:77" x14ac:dyDescent="0.2">
      <c r="A536" s="2"/>
      <c r="B536" s="2"/>
      <c r="C536" s="2"/>
      <c r="D536" s="2"/>
      <c r="E536" s="2"/>
      <c r="F536" s="2"/>
      <c r="G536" s="2"/>
      <c r="H536" s="2"/>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row>
    <row r="537" spans="1:77" x14ac:dyDescent="0.2">
      <c r="A537" s="2"/>
      <c r="B537" s="2"/>
      <c r="C537" s="2"/>
      <c r="D537" s="2"/>
      <c r="E537" s="2"/>
      <c r="F537" s="2"/>
      <c r="G537" s="2"/>
      <c r="H537" s="2"/>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row>
    <row r="538" spans="1:77" x14ac:dyDescent="0.2">
      <c r="A538" s="2"/>
      <c r="B538" s="2"/>
      <c r="C538" s="2"/>
      <c r="D538" s="2"/>
      <c r="E538" s="2"/>
      <c r="F538" s="2"/>
      <c r="G538" s="2"/>
      <c r="H538" s="2"/>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row>
    <row r="539" spans="1:77" x14ac:dyDescent="0.2">
      <c r="A539" s="2"/>
      <c r="B539" s="2"/>
      <c r="C539" s="2"/>
      <c r="D539" s="2"/>
      <c r="E539" s="2"/>
      <c r="F539" s="2"/>
      <c r="G539" s="2"/>
      <c r="H539" s="2"/>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row>
    <row r="540" spans="1:77" x14ac:dyDescent="0.2">
      <c r="A540" s="2"/>
      <c r="B540" s="2"/>
      <c r="C540" s="2"/>
      <c r="D540" s="2"/>
      <c r="E540" s="2"/>
      <c r="F540" s="2"/>
      <c r="G540" s="2"/>
      <c r="H540" s="2"/>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row>
    <row r="541" spans="1:77" x14ac:dyDescent="0.2">
      <c r="A541" s="2"/>
      <c r="B541" s="2"/>
      <c r="C541" s="2"/>
      <c r="D541" s="2"/>
      <c r="E541" s="2"/>
      <c r="F541" s="2"/>
      <c r="G541" s="2"/>
      <c r="H541" s="2"/>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row>
    <row r="542" spans="1:77" x14ac:dyDescent="0.2">
      <c r="A542" s="2"/>
      <c r="B542" s="2"/>
      <c r="C542" s="2"/>
      <c r="D542" s="2"/>
      <c r="E542" s="2"/>
      <c r="F542" s="2"/>
      <c r="G542" s="2"/>
      <c r="H542" s="2"/>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row>
    <row r="543" spans="1:77" x14ac:dyDescent="0.2">
      <c r="A543" s="2"/>
      <c r="B543" s="2"/>
      <c r="C543" s="2"/>
      <c r="D543" s="2"/>
      <c r="E543" s="2"/>
      <c r="F543" s="2"/>
      <c r="G543" s="2"/>
      <c r="H543" s="2"/>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row>
    <row r="544" spans="1:77" x14ac:dyDescent="0.2">
      <c r="A544" s="2"/>
      <c r="B544" s="2"/>
      <c r="C544" s="2"/>
      <c r="D544" s="2"/>
      <c r="E544" s="2"/>
      <c r="F544" s="2"/>
      <c r="G544" s="2"/>
      <c r="H544" s="2"/>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row>
    <row r="545" spans="1:77" x14ac:dyDescent="0.2">
      <c r="A545" s="2"/>
      <c r="B545" s="2"/>
      <c r="C545" s="2"/>
      <c r="D545" s="2"/>
      <c r="E545" s="2"/>
      <c r="F545" s="2"/>
      <c r="G545" s="2"/>
      <c r="H545" s="2"/>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row>
    <row r="546" spans="1:77" x14ac:dyDescent="0.2">
      <c r="A546" s="2"/>
      <c r="B546" s="2"/>
      <c r="C546" s="2"/>
      <c r="D546" s="2"/>
      <c r="E546" s="2"/>
      <c r="F546" s="2"/>
      <c r="G546" s="2"/>
      <c r="H546" s="2"/>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row>
    <row r="547" spans="1:77" x14ac:dyDescent="0.2">
      <c r="A547" s="2"/>
      <c r="B547" s="2"/>
      <c r="C547" s="2"/>
      <c r="D547" s="2"/>
      <c r="E547" s="2"/>
      <c r="F547" s="2"/>
      <c r="G547" s="2"/>
      <c r="H547" s="2"/>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row>
    <row r="548" spans="1:77" x14ac:dyDescent="0.2">
      <c r="A548" s="2"/>
      <c r="B548" s="2"/>
      <c r="C548" s="2"/>
      <c r="D548" s="2"/>
      <c r="E548" s="2"/>
      <c r="F548" s="2"/>
      <c r="G548" s="2"/>
      <c r="H548" s="2"/>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row>
    <row r="549" spans="1:77" x14ac:dyDescent="0.2">
      <c r="A549" s="2"/>
      <c r="B549" s="2"/>
      <c r="C549" s="2"/>
      <c r="D549" s="2"/>
      <c r="E549" s="2"/>
      <c r="F549" s="2"/>
      <c r="G549" s="2"/>
      <c r="H549" s="2"/>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row>
    <row r="550" spans="1:77" x14ac:dyDescent="0.2">
      <c r="A550" s="2"/>
      <c r="B550" s="2"/>
      <c r="C550" s="2"/>
      <c r="D550" s="2"/>
      <c r="E550" s="2"/>
      <c r="F550" s="2"/>
      <c r="G550" s="2"/>
      <c r="H550" s="2"/>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row>
    <row r="551" spans="1:77" x14ac:dyDescent="0.2">
      <c r="A551" s="2"/>
      <c r="B551" s="2"/>
      <c r="C551" s="2"/>
      <c r="D551" s="2"/>
      <c r="E551" s="2"/>
      <c r="F551" s="2"/>
      <c r="G551" s="2"/>
      <c r="H551" s="2"/>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row>
    <row r="552" spans="1:77" x14ac:dyDescent="0.2">
      <c r="A552" s="2"/>
      <c r="B552" s="2"/>
      <c r="C552" s="2"/>
      <c r="D552" s="2"/>
      <c r="E552" s="2"/>
      <c r="F552" s="2"/>
      <c r="G552" s="2"/>
      <c r="H552" s="2"/>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row>
    <row r="553" spans="1:77" x14ac:dyDescent="0.2">
      <c r="A553" s="2"/>
      <c r="B553" s="2"/>
      <c r="C553" s="2"/>
      <c r="D553" s="2"/>
      <c r="E553" s="2"/>
      <c r="F553" s="2"/>
      <c r="G553" s="2"/>
      <c r="H553" s="2"/>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row>
    <row r="554" spans="1:77" x14ac:dyDescent="0.2">
      <c r="A554" s="2"/>
      <c r="B554" s="2"/>
      <c r="C554" s="2"/>
      <c r="D554" s="2"/>
      <c r="E554" s="2"/>
      <c r="F554" s="2"/>
      <c r="G554" s="2"/>
      <c r="H554" s="2"/>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row>
    <row r="555" spans="1:77" x14ac:dyDescent="0.2">
      <c r="A555" s="2"/>
      <c r="B555" s="2"/>
      <c r="C555" s="2"/>
      <c r="D555" s="2"/>
      <c r="E555" s="2"/>
      <c r="F555" s="2"/>
      <c r="G555" s="2"/>
      <c r="H555" s="2"/>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row>
    <row r="556" spans="1:77" x14ac:dyDescent="0.2">
      <c r="A556" s="2"/>
      <c r="B556" s="2"/>
      <c r="C556" s="2"/>
      <c r="D556" s="2"/>
      <c r="E556" s="2"/>
      <c r="F556" s="2"/>
      <c r="G556" s="2"/>
      <c r="H556" s="2"/>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row>
    <row r="557" spans="1:77" x14ac:dyDescent="0.2">
      <c r="A557" s="2"/>
      <c r="B557" s="2"/>
      <c r="C557" s="2"/>
      <c r="D557" s="2"/>
      <c r="E557" s="2"/>
      <c r="F557" s="2"/>
      <c r="G557" s="2"/>
      <c r="H557" s="2"/>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row>
    <row r="558" spans="1:77" x14ac:dyDescent="0.2">
      <c r="A558" s="2"/>
      <c r="B558" s="2"/>
      <c r="C558" s="2"/>
      <c r="D558" s="2"/>
      <c r="E558" s="2"/>
      <c r="F558" s="2"/>
      <c r="G558" s="2"/>
      <c r="H558" s="2"/>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row>
    <row r="559" spans="1:77" x14ac:dyDescent="0.2">
      <c r="A559" s="2"/>
      <c r="B559" s="2"/>
      <c r="C559" s="2"/>
      <c r="D559" s="2"/>
      <c r="E559" s="2"/>
      <c r="F559" s="2"/>
      <c r="G559" s="2"/>
      <c r="H559" s="2"/>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row>
    <row r="560" spans="1:77" x14ac:dyDescent="0.2">
      <c r="A560" s="2"/>
      <c r="B560" s="2"/>
      <c r="C560" s="2"/>
      <c r="D560" s="2"/>
      <c r="E560" s="2"/>
      <c r="F560" s="2"/>
      <c r="G560" s="2"/>
      <c r="H560" s="2"/>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row>
    <row r="561" spans="1:77" x14ac:dyDescent="0.2">
      <c r="A561" s="2"/>
      <c r="B561" s="2"/>
      <c r="C561" s="2"/>
      <c r="D561" s="2"/>
      <c r="E561" s="2"/>
      <c r="F561" s="2"/>
      <c r="G561" s="2"/>
      <c r="H561" s="2"/>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row>
    <row r="562" spans="1:77" x14ac:dyDescent="0.2">
      <c r="A562" s="2"/>
      <c r="B562" s="2"/>
      <c r="C562" s="2"/>
      <c r="D562" s="2"/>
      <c r="E562" s="2"/>
      <c r="F562" s="2"/>
      <c r="G562" s="2"/>
      <c r="H562" s="2"/>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row>
    <row r="563" spans="1:77" x14ac:dyDescent="0.2">
      <c r="A563" s="2"/>
      <c r="B563" s="2"/>
      <c r="C563" s="2"/>
      <c r="D563" s="2"/>
      <c r="E563" s="2"/>
      <c r="F563" s="2"/>
      <c r="G563" s="2"/>
      <c r="H563" s="2"/>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row>
    <row r="564" spans="1:77" x14ac:dyDescent="0.2">
      <c r="A564" s="2"/>
      <c r="B564" s="2"/>
      <c r="C564" s="2"/>
      <c r="D564" s="2"/>
      <c r="E564" s="2"/>
      <c r="F564" s="2"/>
      <c r="G564" s="2"/>
      <c r="H564" s="2"/>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row>
    <row r="565" spans="1:77" x14ac:dyDescent="0.2">
      <c r="A565" s="2"/>
      <c r="B565" s="2"/>
      <c r="C565" s="2"/>
      <c r="D565" s="2"/>
      <c r="E565" s="2"/>
      <c r="F565" s="2"/>
      <c r="G565" s="2"/>
      <c r="H565" s="2"/>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row>
    <row r="566" spans="1:77" x14ac:dyDescent="0.2">
      <c r="A566" s="2"/>
      <c r="B566" s="2"/>
      <c r="C566" s="2"/>
      <c r="D566" s="2"/>
      <c r="E566" s="2"/>
      <c r="F566" s="2"/>
      <c r="G566" s="2"/>
      <c r="H566" s="2"/>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row>
    <row r="567" spans="1:77" x14ac:dyDescent="0.2">
      <c r="A567" s="2"/>
      <c r="B567" s="2"/>
      <c r="C567" s="2"/>
      <c r="D567" s="2"/>
      <c r="E567" s="2"/>
      <c r="F567" s="2"/>
      <c r="G567" s="2"/>
      <c r="H567" s="2"/>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row>
    <row r="568" spans="1:77" x14ac:dyDescent="0.2">
      <c r="A568" s="2"/>
      <c r="B568" s="2"/>
      <c r="C568" s="2"/>
      <c r="D568" s="2"/>
      <c r="E568" s="2"/>
      <c r="F568" s="2"/>
      <c r="G568" s="2"/>
      <c r="H568" s="2"/>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row>
    <row r="569" spans="1:77" x14ac:dyDescent="0.2">
      <c r="A569" s="2"/>
      <c r="B569" s="2"/>
      <c r="C569" s="2"/>
      <c r="D569" s="2"/>
      <c r="E569" s="2"/>
      <c r="F569" s="2"/>
      <c r="G569" s="2"/>
      <c r="H569" s="2"/>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row>
    <row r="570" spans="1:77" x14ac:dyDescent="0.2">
      <c r="A570" s="2"/>
      <c r="B570" s="2"/>
      <c r="C570" s="2"/>
      <c r="D570" s="2"/>
      <c r="E570" s="2"/>
      <c r="F570" s="2"/>
      <c r="G570" s="2"/>
      <c r="H570" s="2"/>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row>
    <row r="571" spans="1:77" x14ac:dyDescent="0.2">
      <c r="A571" s="2"/>
      <c r="B571" s="2"/>
      <c r="C571" s="2"/>
      <c r="D571" s="2"/>
      <c r="E571" s="2"/>
      <c r="F571" s="2"/>
      <c r="G571" s="2"/>
      <c r="H571" s="2"/>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row>
    <row r="572" spans="1:77" x14ac:dyDescent="0.2">
      <c r="A572" s="2"/>
      <c r="B572" s="2"/>
      <c r="C572" s="2"/>
      <c r="D572" s="2"/>
      <c r="E572" s="2"/>
      <c r="F572" s="2"/>
      <c r="G572" s="2"/>
      <c r="H572" s="2"/>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row>
    <row r="573" spans="1:77" x14ac:dyDescent="0.2">
      <c r="A573" s="2"/>
      <c r="B573" s="2"/>
      <c r="C573" s="2"/>
      <c r="D573" s="2"/>
      <c r="E573" s="2"/>
      <c r="F573" s="2"/>
      <c r="G573" s="2"/>
      <c r="H573" s="2"/>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row>
    <row r="574" spans="1:77" x14ac:dyDescent="0.2">
      <c r="A574" s="2"/>
      <c r="B574" s="2"/>
      <c r="C574" s="2"/>
      <c r="D574" s="2"/>
      <c r="E574" s="2"/>
      <c r="F574" s="2"/>
      <c r="G574" s="2"/>
      <c r="H574" s="2"/>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row>
    <row r="575" spans="1:77" x14ac:dyDescent="0.2">
      <c r="A575" s="2"/>
      <c r="B575" s="2"/>
      <c r="C575" s="2"/>
      <c r="D575" s="2"/>
      <c r="E575" s="2"/>
      <c r="F575" s="2"/>
      <c r="G575" s="2"/>
      <c r="H575" s="2"/>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row>
    <row r="576" spans="1:77" x14ac:dyDescent="0.2">
      <c r="A576" s="2"/>
      <c r="B576" s="2"/>
      <c r="C576" s="2"/>
      <c r="D576" s="2"/>
      <c r="E576" s="2"/>
      <c r="F576" s="2"/>
      <c r="G576" s="2"/>
      <c r="H576" s="2"/>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row>
    <row r="577" spans="1:77" x14ac:dyDescent="0.2">
      <c r="A577" s="2"/>
      <c r="B577" s="2"/>
      <c r="C577" s="2"/>
      <c r="D577" s="2"/>
      <c r="E577" s="2"/>
      <c r="F577" s="2"/>
      <c r="G577" s="2"/>
      <c r="H577" s="2"/>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row>
    <row r="578" spans="1:77" x14ac:dyDescent="0.2">
      <c r="A578" s="2"/>
      <c r="B578" s="2"/>
      <c r="C578" s="2"/>
      <c r="D578" s="2"/>
      <c r="E578" s="2"/>
      <c r="F578" s="2"/>
      <c r="G578" s="2"/>
      <c r="H578" s="2"/>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row>
    <row r="579" spans="1:77" x14ac:dyDescent="0.2">
      <c r="A579" s="2"/>
      <c r="B579" s="2"/>
      <c r="C579" s="2"/>
      <c r="D579" s="2"/>
      <c r="E579" s="2"/>
      <c r="F579" s="2"/>
      <c r="G579" s="2"/>
      <c r="H579" s="2"/>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row>
    <row r="580" spans="1:77" x14ac:dyDescent="0.2">
      <c r="A580" s="2"/>
      <c r="B580" s="2"/>
      <c r="C580" s="2"/>
      <c r="D580" s="2"/>
      <c r="E580" s="2"/>
      <c r="F580" s="2"/>
      <c r="G580" s="2"/>
      <c r="H580" s="2"/>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row>
    <row r="581" spans="1:77" x14ac:dyDescent="0.2">
      <c r="A581" s="2"/>
      <c r="B581" s="2"/>
      <c r="C581" s="2"/>
      <c r="D581" s="2"/>
      <c r="E581" s="2"/>
      <c r="F581" s="2"/>
      <c r="G581" s="2"/>
      <c r="H581" s="2"/>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row>
    <row r="582" spans="1:77" x14ac:dyDescent="0.2">
      <c r="A582" s="2"/>
      <c r="B582" s="2"/>
      <c r="C582" s="2"/>
      <c r="D582" s="2"/>
      <c r="E582" s="2"/>
      <c r="F582" s="2"/>
      <c r="G582" s="2"/>
      <c r="H582" s="2"/>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row>
    <row r="583" spans="1:77" x14ac:dyDescent="0.2">
      <c r="A583" s="2"/>
      <c r="B583" s="2"/>
      <c r="C583" s="2"/>
      <c r="D583" s="2"/>
      <c r="E583" s="2"/>
      <c r="F583" s="2"/>
      <c r="G583" s="2"/>
      <c r="H583" s="2"/>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row>
    <row r="584" spans="1:77" x14ac:dyDescent="0.2">
      <c r="A584" s="2"/>
      <c r="B584" s="2"/>
      <c r="C584" s="2"/>
      <c r="D584" s="2"/>
      <c r="E584" s="2"/>
      <c r="F584" s="2"/>
      <c r="G584" s="2"/>
      <c r="H584" s="2"/>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row>
    <row r="585" spans="1:77" x14ac:dyDescent="0.2">
      <c r="A585" s="2"/>
      <c r="B585" s="2"/>
      <c r="C585" s="2"/>
      <c r="D585" s="2"/>
      <c r="E585" s="2"/>
      <c r="F585" s="2"/>
      <c r="G585" s="2"/>
      <c r="H585" s="2"/>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row>
    <row r="586" spans="1:77" x14ac:dyDescent="0.2">
      <c r="A586" s="2"/>
      <c r="B586" s="2"/>
      <c r="C586" s="2"/>
      <c r="D586" s="2"/>
      <c r="E586" s="2"/>
      <c r="F586" s="2"/>
      <c r="G586" s="2"/>
      <c r="H586" s="2"/>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row>
    <row r="587" spans="1:77" x14ac:dyDescent="0.2">
      <c r="A587" s="2"/>
      <c r="B587" s="2"/>
      <c r="C587" s="2"/>
      <c r="D587" s="2"/>
      <c r="E587" s="2"/>
      <c r="F587" s="2"/>
      <c r="G587" s="2"/>
      <c r="H587" s="2"/>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row>
    <row r="588" spans="1:77" x14ac:dyDescent="0.2">
      <c r="A588" s="2"/>
      <c r="B588" s="2"/>
      <c r="C588" s="2"/>
      <c r="D588" s="2"/>
      <c r="E588" s="2"/>
      <c r="F588" s="2"/>
      <c r="G588" s="2"/>
      <c r="H588" s="2"/>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row>
    <row r="589" spans="1:77" x14ac:dyDescent="0.2">
      <c r="A589" s="2"/>
      <c r="B589" s="2"/>
      <c r="C589" s="2"/>
      <c r="D589" s="2"/>
      <c r="E589" s="2"/>
      <c r="F589" s="2"/>
      <c r="G589" s="2"/>
      <c r="H589" s="2"/>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row>
    <row r="590" spans="1:77" x14ac:dyDescent="0.2">
      <c r="A590" s="2"/>
      <c r="B590" s="2"/>
      <c r="C590" s="2"/>
      <c r="D590" s="2"/>
      <c r="E590" s="2"/>
      <c r="F590" s="2"/>
      <c r="G590" s="2"/>
      <c r="H590" s="2"/>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row>
    <row r="591" spans="1:77" x14ac:dyDescent="0.2">
      <c r="A591" s="2"/>
      <c r="B591" s="2"/>
      <c r="C591" s="2"/>
      <c r="D591" s="2"/>
      <c r="E591" s="2"/>
      <c r="F591" s="2"/>
      <c r="G591" s="2"/>
      <c r="H591" s="2"/>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row>
    <row r="592" spans="1:77" x14ac:dyDescent="0.2">
      <c r="A592" s="2"/>
      <c r="B592" s="2"/>
      <c r="C592" s="2"/>
      <c r="D592" s="2"/>
      <c r="E592" s="2"/>
      <c r="F592" s="2"/>
      <c r="G592" s="2"/>
      <c r="H592" s="2"/>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row>
    <row r="593" spans="1:77" x14ac:dyDescent="0.2">
      <c r="A593" s="2"/>
      <c r="B593" s="2"/>
      <c r="C593" s="2"/>
      <c r="D593" s="2"/>
      <c r="E593" s="2"/>
      <c r="F593" s="2"/>
      <c r="G593" s="2"/>
      <c r="H593" s="2"/>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row>
    <row r="594" spans="1:77" x14ac:dyDescent="0.2">
      <c r="A594" s="2"/>
      <c r="B594" s="2"/>
      <c r="C594" s="2"/>
      <c r="D594" s="2"/>
      <c r="E594" s="2"/>
      <c r="F594" s="2"/>
      <c r="G594" s="2"/>
      <c r="H594" s="2"/>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row>
    <row r="595" spans="1:77" x14ac:dyDescent="0.2">
      <c r="A595" s="2"/>
      <c r="B595" s="2"/>
      <c r="C595" s="2"/>
      <c r="D595" s="2"/>
      <c r="E595" s="2"/>
      <c r="F595" s="2"/>
      <c r="G595" s="2"/>
      <c r="H595" s="2"/>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row>
    <row r="596" spans="1:77" x14ac:dyDescent="0.2">
      <c r="A596" s="2"/>
      <c r="B596" s="2"/>
      <c r="C596" s="2"/>
      <c r="D596" s="2"/>
      <c r="E596" s="2"/>
      <c r="F596" s="2"/>
      <c r="G596" s="2"/>
      <c r="H596" s="2"/>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row>
    <row r="597" spans="1:77" x14ac:dyDescent="0.2">
      <c r="A597" s="2"/>
      <c r="B597" s="2"/>
      <c r="C597" s="2"/>
      <c r="D597" s="2"/>
      <c r="E597" s="2"/>
      <c r="F597" s="2"/>
      <c r="G597" s="2"/>
      <c r="H597" s="2"/>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row>
    <row r="598" spans="1:77" x14ac:dyDescent="0.2">
      <c r="A598" s="2"/>
      <c r="B598" s="2"/>
      <c r="C598" s="2"/>
      <c r="D598" s="2"/>
      <c r="E598" s="2"/>
      <c r="F598" s="2"/>
      <c r="G598" s="2"/>
      <c r="H598" s="2"/>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row>
    <row r="599" spans="1:77" x14ac:dyDescent="0.2">
      <c r="A599" s="2"/>
      <c r="B599" s="2"/>
      <c r="C599" s="2"/>
      <c r="D599" s="2"/>
      <c r="E599" s="2"/>
      <c r="F599" s="2"/>
      <c r="G599" s="2"/>
      <c r="H599" s="2"/>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row>
    <row r="600" spans="1:77" x14ac:dyDescent="0.2">
      <c r="A600" s="2"/>
      <c r="B600" s="2"/>
      <c r="C600" s="2"/>
      <c r="D600" s="2"/>
      <c r="E600" s="2"/>
      <c r="F600" s="2"/>
      <c r="G600" s="2"/>
      <c r="H600" s="2"/>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row>
    <row r="601" spans="1:77" x14ac:dyDescent="0.2">
      <c r="A601" s="2"/>
      <c r="B601" s="2"/>
      <c r="C601" s="2"/>
      <c r="D601" s="2"/>
      <c r="E601" s="2"/>
      <c r="F601" s="2"/>
      <c r="G601" s="2"/>
      <c r="H601" s="2"/>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row>
    <row r="602" spans="1:77" x14ac:dyDescent="0.2">
      <c r="A602" s="2"/>
      <c r="B602" s="2"/>
      <c r="C602" s="2"/>
      <c r="D602" s="2"/>
      <c r="E602" s="2"/>
      <c r="F602" s="2"/>
      <c r="G602" s="2"/>
      <c r="H602" s="2"/>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row>
    <row r="603" spans="1:77" x14ac:dyDescent="0.2">
      <c r="A603" s="2"/>
      <c r="B603" s="2"/>
      <c r="C603" s="2"/>
      <c r="D603" s="2"/>
      <c r="E603" s="2"/>
      <c r="F603" s="2"/>
      <c r="G603" s="2"/>
      <c r="H603" s="2"/>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row>
    <row r="604" spans="1:77" x14ac:dyDescent="0.2">
      <c r="A604" s="2"/>
      <c r="B604" s="2"/>
      <c r="C604" s="2"/>
      <c r="D604" s="2"/>
      <c r="E604" s="2"/>
      <c r="F604" s="2"/>
      <c r="G604" s="2"/>
      <c r="H604" s="2"/>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row>
    <row r="605" spans="1:77" x14ac:dyDescent="0.2">
      <c r="A605" s="2"/>
      <c r="B605" s="2"/>
      <c r="C605" s="2"/>
      <c r="D605" s="2"/>
      <c r="E605" s="2"/>
      <c r="F605" s="2"/>
      <c r="G605" s="2"/>
      <c r="H605" s="2"/>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row>
    <row r="606" spans="1:77" x14ac:dyDescent="0.2">
      <c r="A606" s="2"/>
      <c r="B606" s="2"/>
      <c r="C606" s="2"/>
      <c r="D606" s="2"/>
      <c r="E606" s="2"/>
      <c r="F606" s="2"/>
      <c r="G606" s="2"/>
      <c r="H606" s="2"/>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row>
    <row r="607" spans="1:77" x14ac:dyDescent="0.2">
      <c r="A607" s="2"/>
      <c r="B607" s="2"/>
      <c r="C607" s="2"/>
      <c r="D607" s="2"/>
      <c r="E607" s="2"/>
      <c r="F607" s="2"/>
      <c r="G607" s="2"/>
      <c r="H607" s="2"/>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row>
    <row r="608" spans="1:77" x14ac:dyDescent="0.2">
      <c r="A608" s="2"/>
      <c r="B608" s="2"/>
      <c r="C608" s="2"/>
      <c r="D608" s="2"/>
      <c r="E608" s="2"/>
      <c r="F608" s="2"/>
      <c r="G608" s="2"/>
      <c r="H608" s="2"/>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row>
    <row r="609" spans="1:77" x14ac:dyDescent="0.2">
      <c r="A609" s="2"/>
      <c r="B609" s="2"/>
      <c r="C609" s="2"/>
      <c r="D609" s="2"/>
      <c r="E609" s="2"/>
      <c r="F609" s="2"/>
      <c r="G609" s="2"/>
      <c r="H609" s="2"/>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row>
    <row r="610" spans="1:77" x14ac:dyDescent="0.2">
      <c r="A610" s="2"/>
      <c r="B610" s="2"/>
      <c r="C610" s="2"/>
      <c r="D610" s="2"/>
      <c r="E610" s="2"/>
      <c r="F610" s="2"/>
      <c r="G610" s="2"/>
      <c r="H610" s="2"/>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row>
    <row r="611" spans="1:77" x14ac:dyDescent="0.2">
      <c r="A611" s="2"/>
      <c r="B611" s="2"/>
      <c r="C611" s="2"/>
      <c r="D611" s="2"/>
      <c r="E611" s="2"/>
      <c r="F611" s="2"/>
      <c r="G611" s="2"/>
      <c r="H611" s="2"/>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row>
    <row r="612" spans="1:77" x14ac:dyDescent="0.2">
      <c r="A612" s="2"/>
      <c r="B612" s="2"/>
      <c r="C612" s="2"/>
      <c r="D612" s="2"/>
      <c r="E612" s="2"/>
      <c r="F612" s="2"/>
      <c r="G612" s="2"/>
      <c r="H612" s="2"/>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row>
    <row r="613" spans="1:77" x14ac:dyDescent="0.2">
      <c r="A613" s="2"/>
      <c r="B613" s="2"/>
      <c r="C613" s="2"/>
      <c r="D613" s="2"/>
      <c r="E613" s="2"/>
      <c r="F613" s="2"/>
      <c r="G613" s="2"/>
      <c r="H613" s="2"/>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row>
    <row r="614" spans="1:77" x14ac:dyDescent="0.2">
      <c r="A614" s="2"/>
      <c r="B614" s="2"/>
      <c r="C614" s="2"/>
      <c r="D614" s="2"/>
      <c r="E614" s="2"/>
      <c r="F614" s="2"/>
      <c r="G614" s="2"/>
      <c r="H614" s="2"/>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row>
    <row r="615" spans="1:77" x14ac:dyDescent="0.2">
      <c r="A615" s="2"/>
      <c r="B615" s="2"/>
      <c r="C615" s="2"/>
      <c r="D615" s="2"/>
      <c r="E615" s="2"/>
      <c r="F615" s="2"/>
      <c r="G615" s="2"/>
      <c r="H615" s="2"/>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row>
    <row r="616" spans="1:77" x14ac:dyDescent="0.2">
      <c r="A616" s="2"/>
      <c r="B616" s="2"/>
      <c r="C616" s="2"/>
      <c r="D616" s="2"/>
      <c r="E616" s="2"/>
      <c r="F616" s="2"/>
      <c r="G616" s="2"/>
      <c r="H616" s="2"/>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row>
    <row r="617" spans="1:77" x14ac:dyDescent="0.2">
      <c r="A617" s="2"/>
      <c r="B617" s="2"/>
      <c r="C617" s="2"/>
      <c r="D617" s="2"/>
      <c r="E617" s="2"/>
      <c r="F617" s="2"/>
      <c r="G617" s="2"/>
      <c r="H617" s="2"/>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row>
    <row r="618" spans="1:77" x14ac:dyDescent="0.2">
      <c r="A618" s="2"/>
      <c r="B618" s="2"/>
      <c r="C618" s="2"/>
      <c r="D618" s="2"/>
      <c r="E618" s="2"/>
      <c r="F618" s="2"/>
      <c r="G618" s="2"/>
      <c r="H618" s="2"/>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row>
    <row r="619" spans="1:77" x14ac:dyDescent="0.2">
      <c r="A619" s="2"/>
      <c r="B619" s="2"/>
      <c r="C619" s="2"/>
      <c r="D619" s="2"/>
      <c r="E619" s="2"/>
      <c r="F619" s="2"/>
      <c r="G619" s="2"/>
      <c r="H619" s="2"/>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row>
    <row r="620" spans="1:77" x14ac:dyDescent="0.2">
      <c r="A620" s="2"/>
      <c r="B620" s="2"/>
      <c r="C620" s="2"/>
      <c r="D620" s="2"/>
      <c r="E620" s="2"/>
      <c r="F620" s="2"/>
      <c r="G620" s="2"/>
      <c r="H620" s="2"/>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row>
    <row r="621" spans="1:77" x14ac:dyDescent="0.2">
      <c r="A621" s="2"/>
      <c r="B621" s="2"/>
      <c r="C621" s="2"/>
      <c r="D621" s="2"/>
      <c r="E621" s="2"/>
      <c r="F621" s="2"/>
      <c r="G621" s="2"/>
      <c r="H621" s="2"/>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row>
    <row r="622" spans="1:77" x14ac:dyDescent="0.2">
      <c r="A622" s="2"/>
      <c r="B622" s="2"/>
      <c r="C622" s="2"/>
      <c r="D622" s="2"/>
      <c r="E622" s="2"/>
      <c r="F622" s="2"/>
      <c r="G622" s="2"/>
      <c r="H622" s="2"/>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row>
    <row r="623" spans="1:77" x14ac:dyDescent="0.2">
      <c r="A623" s="2"/>
      <c r="B623" s="2"/>
      <c r="C623" s="2"/>
      <c r="D623" s="2"/>
      <c r="E623" s="2"/>
      <c r="F623" s="2"/>
      <c r="G623" s="2"/>
      <c r="H623" s="2"/>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row>
    <row r="624" spans="1:77" x14ac:dyDescent="0.2">
      <c r="A624" s="2"/>
      <c r="B624" s="2"/>
      <c r="C624" s="2"/>
      <c r="D624" s="2"/>
      <c r="E624" s="2"/>
      <c r="F624" s="2"/>
      <c r="G624" s="2"/>
      <c r="H624" s="2"/>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row>
    <row r="625" spans="1:77" x14ac:dyDescent="0.2">
      <c r="A625" s="2"/>
      <c r="B625" s="2"/>
      <c r="C625" s="2"/>
      <c r="D625" s="2"/>
      <c r="E625" s="2"/>
      <c r="F625" s="2"/>
      <c r="G625" s="2"/>
      <c r="H625" s="2"/>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row>
    <row r="626" spans="1:77" x14ac:dyDescent="0.2">
      <c r="A626" s="2"/>
      <c r="B626" s="2"/>
      <c r="C626" s="2"/>
      <c r="D626" s="2"/>
      <c r="E626" s="2"/>
      <c r="F626" s="2"/>
      <c r="G626" s="2"/>
      <c r="H626" s="2"/>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row>
    <row r="627" spans="1:77" x14ac:dyDescent="0.2">
      <c r="A627" s="2"/>
      <c r="B627" s="2"/>
      <c r="C627" s="2"/>
      <c r="D627" s="2"/>
      <c r="E627" s="2"/>
      <c r="F627" s="2"/>
      <c r="G627" s="2"/>
      <c r="H627" s="2"/>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row>
    <row r="628" spans="1:77" x14ac:dyDescent="0.2">
      <c r="A628" s="2"/>
      <c r="B628" s="2"/>
      <c r="C628" s="2"/>
      <c r="D628" s="2"/>
      <c r="E628" s="2"/>
      <c r="F628" s="2"/>
      <c r="G628" s="2"/>
      <c r="H628" s="2"/>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row>
    <row r="629" spans="1:77" x14ac:dyDescent="0.2">
      <c r="A629" s="2"/>
      <c r="B629" s="2"/>
      <c r="C629" s="2"/>
      <c r="D629" s="2"/>
      <c r="E629" s="2"/>
      <c r="F629" s="2"/>
      <c r="G629" s="2"/>
      <c r="H629" s="2"/>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row>
    <row r="630" spans="1:77" x14ac:dyDescent="0.2">
      <c r="A630" s="2"/>
      <c r="B630" s="2"/>
      <c r="C630" s="2"/>
      <c r="D630" s="2"/>
      <c r="E630" s="2"/>
      <c r="F630" s="2"/>
      <c r="G630" s="2"/>
      <c r="H630" s="2"/>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row>
    <row r="631" spans="1:77" x14ac:dyDescent="0.2">
      <c r="A631" s="2"/>
      <c r="B631" s="2"/>
      <c r="C631" s="2"/>
      <c r="D631" s="2"/>
      <c r="E631" s="2"/>
      <c r="F631" s="2"/>
      <c r="G631" s="2"/>
      <c r="H631" s="2"/>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row>
    <row r="632" spans="1:77" x14ac:dyDescent="0.2">
      <c r="A632" s="2"/>
      <c r="B632" s="2"/>
      <c r="C632" s="2"/>
      <c r="D632" s="2"/>
      <c r="E632" s="2"/>
      <c r="F632" s="2"/>
      <c r="G632" s="2"/>
      <c r="H632" s="2"/>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row>
    <row r="633" spans="1:77" x14ac:dyDescent="0.2">
      <c r="A633" s="2"/>
      <c r="B633" s="2"/>
      <c r="C633" s="2"/>
      <c r="D633" s="2"/>
      <c r="E633" s="2"/>
      <c r="F633" s="2"/>
      <c r="G633" s="2"/>
      <c r="H633" s="2"/>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row>
    <row r="634" spans="1:77" x14ac:dyDescent="0.2">
      <c r="A634" s="2"/>
      <c r="B634" s="2"/>
      <c r="C634" s="2"/>
      <c r="D634" s="2"/>
      <c r="E634" s="2"/>
      <c r="F634" s="2"/>
      <c r="G634" s="2"/>
      <c r="H634" s="2"/>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row>
    <row r="635" spans="1:77" x14ac:dyDescent="0.2">
      <c r="A635" s="2"/>
      <c r="B635" s="2"/>
      <c r="C635" s="2"/>
      <c r="D635" s="2"/>
      <c r="E635" s="2"/>
      <c r="F635" s="2"/>
      <c r="G635" s="2"/>
      <c r="H635" s="2"/>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row>
    <row r="636" spans="1:77" x14ac:dyDescent="0.2">
      <c r="A636" s="2"/>
      <c r="B636" s="2"/>
      <c r="C636" s="2"/>
      <c r="D636" s="2"/>
      <c r="E636" s="2"/>
      <c r="F636" s="2"/>
      <c r="G636" s="2"/>
      <c r="H636" s="2"/>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row>
    <row r="637" spans="1:77" x14ac:dyDescent="0.2">
      <c r="A637" s="2"/>
      <c r="B637" s="2"/>
      <c r="C637" s="2"/>
      <c r="D637" s="2"/>
      <c r="E637" s="2"/>
      <c r="F637" s="2"/>
      <c r="G637" s="2"/>
      <c r="H637" s="2"/>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row>
    <row r="638" spans="1:77" x14ac:dyDescent="0.2">
      <c r="A638" s="2"/>
      <c r="B638" s="2"/>
      <c r="C638" s="2"/>
      <c r="D638" s="2"/>
      <c r="E638" s="2"/>
      <c r="F638" s="2"/>
      <c r="G638" s="2"/>
      <c r="H638" s="2"/>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row>
    <row r="639" spans="1:77" x14ac:dyDescent="0.2">
      <c r="A639" s="2"/>
      <c r="B639" s="2"/>
      <c r="C639" s="2"/>
      <c r="D639" s="2"/>
      <c r="E639" s="2"/>
      <c r="F639" s="2"/>
      <c r="G639" s="2"/>
      <c r="H639" s="2"/>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row>
    <row r="640" spans="1:77" x14ac:dyDescent="0.2">
      <c r="A640" s="2"/>
      <c r="B640" s="2"/>
      <c r="C640" s="2"/>
      <c r="D640" s="2"/>
      <c r="E640" s="2"/>
      <c r="F640" s="2"/>
      <c r="G640" s="2"/>
      <c r="H640" s="2"/>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row>
    <row r="641" spans="1:77" x14ac:dyDescent="0.2">
      <c r="A641" s="2"/>
      <c r="B641" s="2"/>
      <c r="C641" s="2"/>
      <c r="D641" s="2"/>
      <c r="E641" s="2"/>
      <c r="F641" s="2"/>
      <c r="G641" s="2"/>
      <c r="H641" s="2"/>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row>
    <row r="642" spans="1:77" x14ac:dyDescent="0.2">
      <c r="A642" s="2"/>
      <c r="B642" s="2"/>
      <c r="C642" s="2"/>
      <c r="D642" s="2"/>
      <c r="E642" s="2"/>
      <c r="F642" s="2"/>
      <c r="G642" s="2"/>
      <c r="H642" s="2"/>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row>
    <row r="643" spans="1:77" x14ac:dyDescent="0.2">
      <c r="A643" s="2"/>
      <c r="B643" s="2"/>
      <c r="C643" s="2"/>
      <c r="D643" s="2"/>
      <c r="E643" s="2"/>
      <c r="F643" s="2"/>
      <c r="G643" s="2"/>
      <c r="H643" s="2"/>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row>
    <row r="644" spans="1:77" x14ac:dyDescent="0.2">
      <c r="A644" s="2"/>
      <c r="B644" s="2"/>
      <c r="C644" s="2"/>
      <c r="D644" s="2"/>
      <c r="E644" s="2"/>
      <c r="F644" s="2"/>
      <c r="G644" s="2"/>
      <c r="H644" s="2"/>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row>
    <row r="645" spans="1:77" x14ac:dyDescent="0.2">
      <c r="A645" s="2"/>
      <c r="B645" s="2"/>
      <c r="C645" s="2"/>
      <c r="D645" s="2"/>
      <c r="E645" s="2"/>
      <c r="F645" s="2"/>
      <c r="G645" s="2"/>
      <c r="H645" s="2"/>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row>
    <row r="646" spans="1:77" x14ac:dyDescent="0.2">
      <c r="A646" s="2"/>
      <c r="B646" s="2"/>
      <c r="C646" s="2"/>
      <c r="D646" s="2"/>
      <c r="E646" s="2"/>
      <c r="F646" s="2"/>
      <c r="G646" s="2"/>
      <c r="H646" s="2"/>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row>
    <row r="647" spans="1:77" x14ac:dyDescent="0.2">
      <c r="A647" s="2"/>
      <c r="B647" s="2"/>
      <c r="C647" s="2"/>
      <c r="D647" s="2"/>
      <c r="E647" s="2"/>
      <c r="F647" s="2"/>
      <c r="G647" s="2"/>
      <c r="H647" s="2"/>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row>
    <row r="648" spans="1:77" x14ac:dyDescent="0.2">
      <c r="A648" s="2"/>
      <c r="B648" s="2"/>
      <c r="C648" s="2"/>
      <c r="D648" s="2"/>
      <c r="E648" s="2"/>
      <c r="F648" s="2"/>
      <c r="G648" s="2"/>
      <c r="H648" s="2"/>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row>
    <row r="649" spans="1:77" x14ac:dyDescent="0.2">
      <c r="A649" s="2"/>
      <c r="B649" s="2"/>
      <c r="C649" s="2"/>
      <c r="D649" s="2"/>
      <c r="E649" s="2"/>
      <c r="F649" s="2"/>
      <c r="G649" s="2"/>
      <c r="H649" s="2"/>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row>
    <row r="650" spans="1:77" x14ac:dyDescent="0.2">
      <c r="A650" s="2"/>
      <c r="B650" s="2"/>
      <c r="C650" s="2"/>
      <c r="D650" s="2"/>
      <c r="E650" s="2"/>
      <c r="F650" s="2"/>
      <c r="G650" s="2"/>
      <c r="H650" s="2"/>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row>
    <row r="651" spans="1:77" x14ac:dyDescent="0.2">
      <c r="A651" s="2"/>
      <c r="B651" s="2"/>
      <c r="C651" s="2"/>
      <c r="D651" s="2"/>
      <c r="E651" s="2"/>
      <c r="F651" s="2"/>
      <c r="G651" s="2"/>
      <c r="H651" s="2"/>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row>
    <row r="652" spans="1:77" x14ac:dyDescent="0.2">
      <c r="A652" s="2"/>
      <c r="B652" s="2"/>
      <c r="C652" s="2"/>
      <c r="D652" s="2"/>
      <c r="E652" s="2"/>
      <c r="F652" s="2"/>
      <c r="G652" s="2"/>
      <c r="H652" s="2"/>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row>
    <row r="653" spans="1:77" x14ac:dyDescent="0.2">
      <c r="A653" s="2"/>
      <c r="B653" s="2"/>
      <c r="C653" s="2"/>
      <c r="D653" s="2"/>
      <c r="E653" s="2"/>
      <c r="F653" s="2"/>
      <c r="G653" s="2"/>
      <c r="H653" s="2"/>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row>
    <row r="654" spans="1:77" x14ac:dyDescent="0.2">
      <c r="A654" s="2"/>
      <c r="B654" s="2"/>
      <c r="C654" s="2"/>
      <c r="D654" s="2"/>
      <c r="E654" s="2"/>
      <c r="F654" s="2"/>
      <c r="G654" s="2"/>
      <c r="H654" s="2"/>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row>
    <row r="655" spans="1:77" x14ac:dyDescent="0.2">
      <c r="A655" s="2"/>
      <c r="B655" s="2"/>
      <c r="C655" s="2"/>
      <c r="D655" s="2"/>
      <c r="E655" s="2"/>
      <c r="F655" s="2"/>
      <c r="G655" s="2"/>
      <c r="H655" s="2"/>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row>
    <row r="656" spans="1:77" x14ac:dyDescent="0.2">
      <c r="A656" s="2"/>
      <c r="B656" s="2"/>
      <c r="C656" s="2"/>
      <c r="D656" s="2"/>
      <c r="E656" s="2"/>
      <c r="F656" s="2"/>
      <c r="G656" s="2"/>
      <c r="H656" s="2"/>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row>
    <row r="657" spans="1:77" x14ac:dyDescent="0.2">
      <c r="A657" s="2"/>
      <c r="B657" s="2"/>
      <c r="C657" s="2"/>
      <c r="D657" s="2"/>
      <c r="E657" s="2"/>
      <c r="F657" s="2"/>
      <c r="G657" s="2"/>
      <c r="H657" s="2"/>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row>
    <row r="658" spans="1:77" x14ac:dyDescent="0.2">
      <c r="A658" s="2"/>
      <c r="B658" s="2"/>
      <c r="C658" s="2"/>
      <c r="D658" s="2"/>
      <c r="E658" s="2"/>
      <c r="F658" s="2"/>
      <c r="G658" s="2"/>
      <c r="H658" s="2"/>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row>
    <row r="659" spans="1:77" x14ac:dyDescent="0.2">
      <c r="A659" s="2"/>
      <c r="B659" s="2"/>
      <c r="C659" s="2"/>
      <c r="D659" s="2"/>
      <c r="E659" s="2"/>
      <c r="F659" s="2"/>
      <c r="G659" s="2"/>
      <c r="H659" s="2"/>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row>
    <row r="660" spans="1:77" x14ac:dyDescent="0.2">
      <c r="A660" s="2"/>
      <c r="B660" s="2"/>
      <c r="C660" s="2"/>
      <c r="D660" s="2"/>
      <c r="E660" s="2"/>
      <c r="F660" s="2"/>
      <c r="G660" s="2"/>
      <c r="H660" s="2"/>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row>
    <row r="661" spans="1:77" x14ac:dyDescent="0.2">
      <c r="A661" s="2"/>
      <c r="B661" s="2"/>
      <c r="C661" s="2"/>
      <c r="D661" s="2"/>
      <c r="E661" s="2"/>
      <c r="F661" s="2"/>
      <c r="G661" s="2"/>
      <c r="H661" s="2"/>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row>
    <row r="662" spans="1:77" x14ac:dyDescent="0.2">
      <c r="A662" s="2"/>
      <c r="B662" s="2"/>
      <c r="C662" s="2"/>
      <c r="D662" s="2"/>
      <c r="E662" s="2"/>
      <c r="F662" s="2"/>
      <c r="G662" s="2"/>
      <c r="H662" s="2"/>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row>
    <row r="663" spans="1:77" x14ac:dyDescent="0.2">
      <c r="A663" s="2"/>
      <c r="B663" s="2"/>
      <c r="C663" s="2"/>
      <c r="D663" s="2"/>
      <c r="E663" s="2"/>
      <c r="F663" s="2"/>
      <c r="G663" s="2"/>
      <c r="H663" s="2"/>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row>
    <row r="664" spans="1:77" x14ac:dyDescent="0.2">
      <c r="A664" s="2"/>
      <c r="B664" s="2"/>
      <c r="C664" s="2"/>
      <c r="D664" s="2"/>
      <c r="E664" s="2"/>
      <c r="F664" s="2"/>
      <c r="G664" s="2"/>
      <c r="H664" s="2"/>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row>
    <row r="665" spans="1:77" x14ac:dyDescent="0.2">
      <c r="A665" s="2"/>
      <c r="B665" s="2"/>
      <c r="C665" s="2"/>
      <c r="D665" s="2"/>
      <c r="E665" s="2"/>
      <c r="F665" s="2"/>
      <c r="G665" s="2"/>
      <c r="H665" s="2"/>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row>
    <row r="666" spans="1:77" x14ac:dyDescent="0.2">
      <c r="A666" s="2"/>
      <c r="B666" s="2"/>
      <c r="C666" s="2"/>
      <c r="D666" s="2"/>
      <c r="E666" s="2"/>
      <c r="F666" s="2"/>
      <c r="G666" s="2"/>
      <c r="H666" s="2"/>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row>
    <row r="667" spans="1:77" x14ac:dyDescent="0.2">
      <c r="A667" s="2"/>
      <c r="B667" s="2"/>
      <c r="C667" s="2"/>
      <c r="D667" s="2"/>
      <c r="E667" s="2"/>
      <c r="F667" s="2"/>
      <c r="G667" s="2"/>
      <c r="H667" s="2"/>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row>
    <row r="668" spans="1:77" x14ac:dyDescent="0.2">
      <c r="A668" s="2"/>
      <c r="B668" s="2"/>
      <c r="C668" s="2"/>
      <c r="D668" s="2"/>
      <c r="E668" s="2"/>
      <c r="F668" s="2"/>
      <c r="G668" s="2"/>
      <c r="H668" s="2"/>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row>
    <row r="669" spans="1:77" x14ac:dyDescent="0.2">
      <c r="A669" s="2"/>
      <c r="B669" s="2"/>
      <c r="C669" s="2"/>
      <c r="D669" s="2"/>
      <c r="E669" s="2"/>
      <c r="F669" s="2"/>
      <c r="G669" s="2"/>
      <c r="H669" s="2"/>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row>
    <row r="670" spans="1:77" x14ac:dyDescent="0.2">
      <c r="A670" s="2"/>
      <c r="B670" s="2"/>
      <c r="C670" s="2"/>
      <c r="D670" s="2"/>
      <c r="E670" s="2"/>
      <c r="F670" s="2"/>
      <c r="G670" s="2"/>
      <c r="H670" s="2"/>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row>
    <row r="671" spans="1:77" x14ac:dyDescent="0.2">
      <c r="A671" s="2"/>
      <c r="B671" s="2"/>
      <c r="C671" s="2"/>
      <c r="D671" s="2"/>
      <c r="E671" s="2"/>
      <c r="F671" s="2"/>
      <c r="G671" s="2"/>
      <c r="H671" s="2"/>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row>
    <row r="672" spans="1:77" x14ac:dyDescent="0.2">
      <c r="A672" s="2"/>
      <c r="B672" s="2"/>
      <c r="C672" s="2"/>
      <c r="D672" s="2"/>
      <c r="E672" s="2"/>
      <c r="F672" s="2"/>
      <c r="G672" s="2"/>
      <c r="H672" s="2"/>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row>
    <row r="673" spans="1:77" x14ac:dyDescent="0.2">
      <c r="A673" s="2"/>
      <c r="B673" s="2"/>
      <c r="C673" s="2"/>
      <c r="D673" s="2"/>
      <c r="E673" s="2"/>
      <c r="F673" s="2"/>
      <c r="G673" s="2"/>
      <c r="H673" s="2"/>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row>
    <row r="674" spans="1:77" x14ac:dyDescent="0.2">
      <c r="A674" s="2"/>
      <c r="B674" s="2"/>
      <c r="C674" s="2"/>
      <c r="D674" s="2"/>
      <c r="E674" s="2"/>
      <c r="F674" s="2"/>
      <c r="G674" s="2"/>
      <c r="H674" s="2"/>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row>
    <row r="675" spans="1:77" x14ac:dyDescent="0.2">
      <c r="A675" s="2"/>
      <c r="B675" s="2"/>
      <c r="C675" s="2"/>
      <c r="D675" s="2"/>
      <c r="E675" s="2"/>
      <c r="F675" s="2"/>
      <c r="G675" s="2"/>
      <c r="H675" s="2"/>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row>
    <row r="676" spans="1:77" x14ac:dyDescent="0.2">
      <c r="A676" s="2"/>
      <c r="B676" s="2"/>
      <c r="C676" s="2"/>
      <c r="D676" s="2"/>
      <c r="E676" s="2"/>
      <c r="F676" s="2"/>
      <c r="G676" s="2"/>
      <c r="H676" s="2"/>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row>
    <row r="677" spans="1:77" x14ac:dyDescent="0.2">
      <c r="A677" s="2"/>
      <c r="B677" s="2"/>
      <c r="C677" s="2"/>
      <c r="D677" s="2"/>
      <c r="E677" s="2"/>
      <c r="F677" s="2"/>
      <c r="G677" s="2"/>
      <c r="H677" s="2"/>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row>
    <row r="678" spans="1:77" x14ac:dyDescent="0.2">
      <c r="A678" s="2"/>
      <c r="B678" s="2"/>
      <c r="C678" s="2"/>
      <c r="D678" s="2"/>
      <c r="E678" s="2"/>
      <c r="F678" s="2"/>
      <c r="G678" s="2"/>
      <c r="H678" s="2"/>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row>
    <row r="679" spans="1:77" x14ac:dyDescent="0.2">
      <c r="A679" s="2"/>
      <c r="B679" s="2"/>
      <c r="C679" s="2"/>
      <c r="D679" s="2"/>
      <c r="E679" s="2"/>
      <c r="F679" s="2"/>
      <c r="G679" s="2"/>
      <c r="H679" s="2"/>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row>
    <row r="680" spans="1:77" x14ac:dyDescent="0.2">
      <c r="A680" s="2"/>
      <c r="B680" s="2"/>
      <c r="C680" s="2"/>
      <c r="D680" s="2"/>
      <c r="E680" s="2"/>
      <c r="F680" s="2"/>
      <c r="G680" s="2"/>
      <c r="H680" s="2"/>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row>
    <row r="681" spans="1:77" x14ac:dyDescent="0.2">
      <c r="A681" s="2"/>
      <c r="B681" s="2"/>
      <c r="C681" s="2"/>
      <c r="D681" s="2"/>
      <c r="E681" s="2"/>
      <c r="F681" s="2"/>
      <c r="G681" s="2"/>
      <c r="H681" s="2"/>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row>
    <row r="682" spans="1:77" x14ac:dyDescent="0.2">
      <c r="A682" s="2"/>
      <c r="B682" s="2"/>
      <c r="C682" s="2"/>
      <c r="D682" s="2"/>
      <c r="E682" s="2"/>
      <c r="F682" s="2"/>
      <c r="G682" s="2"/>
      <c r="H682" s="2"/>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row>
    <row r="683" spans="1:77" x14ac:dyDescent="0.2">
      <c r="A683" s="2"/>
      <c r="B683" s="2"/>
      <c r="C683" s="2"/>
      <c r="D683" s="2"/>
      <c r="E683" s="2"/>
      <c r="F683" s="2"/>
      <c r="G683" s="2"/>
      <c r="H683" s="2"/>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row>
    <row r="684" spans="1:77" x14ac:dyDescent="0.2">
      <c r="A684" s="2"/>
      <c r="B684" s="2"/>
      <c r="C684" s="2"/>
      <c r="D684" s="2"/>
      <c r="E684" s="2"/>
      <c r="F684" s="2"/>
      <c r="G684" s="2"/>
      <c r="H684" s="2"/>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row>
    <row r="685" spans="1:77" x14ac:dyDescent="0.2">
      <c r="A685" s="2"/>
      <c r="B685" s="2"/>
      <c r="C685" s="2"/>
      <c r="D685" s="2"/>
      <c r="E685" s="2"/>
      <c r="F685" s="2"/>
      <c r="G685" s="2"/>
      <c r="H685" s="2"/>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row>
    <row r="686" spans="1:77" x14ac:dyDescent="0.2">
      <c r="A686" s="2"/>
      <c r="B686" s="2"/>
      <c r="C686" s="2"/>
      <c r="D686" s="2"/>
      <c r="E686" s="2"/>
      <c r="F686" s="2"/>
      <c r="G686" s="2"/>
      <c r="H686" s="2"/>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row>
    <row r="687" spans="1:77" x14ac:dyDescent="0.2">
      <c r="A687" s="2"/>
      <c r="B687" s="2"/>
      <c r="C687" s="2"/>
      <c r="D687" s="2"/>
      <c r="E687" s="2"/>
      <c r="F687" s="2"/>
      <c r="G687" s="2"/>
      <c r="H687" s="2"/>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row>
    <row r="688" spans="1:77" x14ac:dyDescent="0.2">
      <c r="A688" s="2"/>
      <c r="B688" s="2"/>
      <c r="C688" s="2"/>
      <c r="D688" s="2"/>
      <c r="E688" s="2"/>
      <c r="F688" s="2"/>
      <c r="G688" s="2"/>
      <c r="H688" s="2"/>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row>
    <row r="689" spans="1:77" x14ac:dyDescent="0.2">
      <c r="A689" s="2"/>
      <c r="B689" s="2"/>
      <c r="C689" s="2"/>
      <c r="D689" s="2"/>
      <c r="E689" s="2"/>
      <c r="F689" s="2"/>
      <c r="G689" s="2"/>
      <c r="H689" s="2"/>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row>
    <row r="690" spans="1:77" x14ac:dyDescent="0.2">
      <c r="A690" s="2"/>
      <c r="B690" s="2"/>
      <c r="C690" s="2"/>
      <c r="D690" s="2"/>
      <c r="E690" s="2"/>
      <c r="F690" s="2"/>
      <c r="G690" s="2"/>
      <c r="H690" s="2"/>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row>
    <row r="691" spans="1:77" x14ac:dyDescent="0.2">
      <c r="A691" s="2"/>
      <c r="B691" s="2"/>
      <c r="C691" s="2"/>
      <c r="D691" s="2"/>
      <c r="E691" s="2"/>
      <c r="F691" s="2"/>
      <c r="G691" s="2"/>
      <c r="H691" s="2"/>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row>
    <row r="692" spans="1:77" x14ac:dyDescent="0.2">
      <c r="A692" s="2"/>
      <c r="B692" s="2"/>
      <c r="C692" s="2"/>
      <c r="D692" s="2"/>
      <c r="E692" s="2"/>
      <c r="F692" s="2"/>
      <c r="G692" s="2"/>
      <c r="H692" s="2"/>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row>
    <row r="693" spans="1:77" x14ac:dyDescent="0.2">
      <c r="A693" s="2"/>
      <c r="B693" s="2"/>
      <c r="C693" s="2"/>
      <c r="D693" s="2"/>
      <c r="E693" s="2"/>
      <c r="F693" s="2"/>
      <c r="G693" s="2"/>
      <c r="H693" s="2"/>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row>
    <row r="694" spans="1:77" x14ac:dyDescent="0.2">
      <c r="A694" s="2"/>
      <c r="B694" s="2"/>
      <c r="C694" s="2"/>
      <c r="D694" s="2"/>
      <c r="E694" s="2"/>
      <c r="F694" s="2"/>
      <c r="G694" s="2"/>
      <c r="H694" s="2"/>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row>
    <row r="695" spans="1:77" x14ac:dyDescent="0.2">
      <c r="A695" s="2"/>
      <c r="B695" s="2"/>
      <c r="C695" s="2"/>
      <c r="D695" s="2"/>
      <c r="E695" s="2"/>
      <c r="F695" s="2"/>
      <c r="G695" s="2"/>
      <c r="H695" s="2"/>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row>
    <row r="696" spans="1:77" x14ac:dyDescent="0.2">
      <c r="A696" s="2"/>
      <c r="B696" s="2"/>
      <c r="C696" s="2"/>
      <c r="D696" s="2"/>
      <c r="E696" s="2"/>
      <c r="F696" s="2"/>
      <c r="G696" s="2"/>
      <c r="H696" s="2"/>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row>
    <row r="697" spans="1:77" x14ac:dyDescent="0.2">
      <c r="A697" s="2"/>
      <c r="B697" s="2"/>
      <c r="C697" s="2"/>
      <c r="D697" s="2"/>
      <c r="E697" s="2"/>
      <c r="F697" s="2"/>
      <c r="G697" s="2"/>
      <c r="H697" s="2"/>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row>
    <row r="698" spans="1:77" x14ac:dyDescent="0.2">
      <c r="A698" s="2"/>
      <c r="B698" s="2"/>
      <c r="C698" s="2"/>
      <c r="D698" s="2"/>
      <c r="E698" s="2"/>
      <c r="F698" s="2"/>
      <c r="G698" s="2"/>
      <c r="H698" s="2"/>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row>
    <row r="699" spans="1:77" x14ac:dyDescent="0.2">
      <c r="A699" s="2"/>
      <c r="B699" s="2"/>
      <c r="C699" s="2"/>
      <c r="D699" s="2"/>
      <c r="E699" s="2"/>
      <c r="F699" s="2"/>
      <c r="G699" s="2"/>
      <c r="H699" s="2"/>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row>
    <row r="700" spans="1:77" x14ac:dyDescent="0.2">
      <c r="A700" s="2"/>
      <c r="B700" s="2"/>
      <c r="C700" s="2"/>
      <c r="D700" s="2"/>
      <c r="E700" s="2"/>
      <c r="F700" s="2"/>
      <c r="G700" s="2"/>
      <c r="H700" s="2"/>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row>
    <row r="701" spans="1:77" x14ac:dyDescent="0.2">
      <c r="A701" s="2"/>
      <c r="B701" s="2"/>
      <c r="C701" s="2"/>
      <c r="D701" s="2"/>
      <c r="E701" s="2"/>
      <c r="F701" s="2"/>
      <c r="G701" s="2"/>
      <c r="H701" s="2"/>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row>
    <row r="702" spans="1:77" x14ac:dyDescent="0.2">
      <c r="A702" s="2"/>
      <c r="B702" s="2"/>
      <c r="C702" s="2"/>
      <c r="D702" s="2"/>
      <c r="E702" s="2"/>
      <c r="F702" s="2"/>
      <c r="G702" s="2"/>
      <c r="H702" s="2"/>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row>
    <row r="703" spans="1:77" x14ac:dyDescent="0.2">
      <c r="A703" s="2"/>
      <c r="B703" s="2"/>
      <c r="C703" s="2"/>
      <c r="D703" s="2"/>
      <c r="E703" s="2"/>
      <c r="F703" s="2"/>
      <c r="G703" s="2"/>
      <c r="H703" s="2"/>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row>
    <row r="704" spans="1:77" x14ac:dyDescent="0.2">
      <c r="A704" s="2"/>
      <c r="B704" s="2"/>
      <c r="C704" s="2"/>
      <c r="D704" s="2"/>
      <c r="E704" s="2"/>
      <c r="F704" s="2"/>
      <c r="G704" s="2"/>
      <c r="H704" s="2"/>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row>
    <row r="705" spans="1:77" x14ac:dyDescent="0.2">
      <c r="A705" s="2"/>
      <c r="B705" s="2"/>
      <c r="C705" s="2"/>
      <c r="D705" s="2"/>
      <c r="E705" s="2"/>
      <c r="F705" s="2"/>
      <c r="G705" s="2"/>
      <c r="H705" s="2"/>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row>
    <row r="706" spans="1:77" x14ac:dyDescent="0.2">
      <c r="A706" s="2"/>
      <c r="B706" s="2"/>
      <c r="C706" s="2"/>
      <c r="D706" s="2"/>
      <c r="E706" s="2"/>
      <c r="F706" s="2"/>
      <c r="G706" s="2"/>
      <c r="H706" s="2"/>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row>
    <row r="707" spans="1:77" x14ac:dyDescent="0.2">
      <c r="A707" s="2"/>
      <c r="B707" s="2"/>
      <c r="C707" s="2"/>
      <c r="D707" s="2"/>
      <c r="E707" s="2"/>
      <c r="F707" s="2"/>
      <c r="G707" s="2"/>
      <c r="H707" s="2"/>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row>
    <row r="708" spans="1:77" x14ac:dyDescent="0.2">
      <c r="A708" s="2"/>
      <c r="B708" s="2"/>
      <c r="C708" s="2"/>
      <c r="D708" s="2"/>
      <c r="E708" s="2"/>
      <c r="F708" s="2"/>
      <c r="G708" s="2"/>
      <c r="H708" s="2"/>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row>
    <row r="709" spans="1:77" x14ac:dyDescent="0.2">
      <c r="A709" s="2"/>
      <c r="B709" s="2"/>
      <c r="C709" s="2"/>
      <c r="D709" s="2"/>
      <c r="E709" s="2"/>
      <c r="F709" s="2"/>
      <c r="G709" s="2"/>
      <c r="H709" s="2"/>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row>
    <row r="710" spans="1:77" x14ac:dyDescent="0.2">
      <c r="A710" s="2"/>
      <c r="B710" s="2"/>
      <c r="C710" s="2"/>
      <c r="D710" s="2"/>
      <c r="E710" s="2"/>
      <c r="F710" s="2"/>
      <c r="G710" s="2"/>
      <c r="H710" s="2"/>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row>
    <row r="711" spans="1:77" x14ac:dyDescent="0.2">
      <c r="A711" s="2"/>
      <c r="B711" s="2"/>
      <c r="C711" s="2"/>
      <c r="D711" s="2"/>
      <c r="E711" s="2"/>
      <c r="F711" s="2"/>
      <c r="G711" s="2"/>
      <c r="H711" s="2"/>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row>
    <row r="712" spans="1:77" x14ac:dyDescent="0.2">
      <c r="A712" s="2"/>
      <c r="B712" s="2"/>
      <c r="C712" s="2"/>
      <c r="D712" s="2"/>
      <c r="E712" s="2"/>
      <c r="F712" s="2"/>
      <c r="G712" s="2"/>
      <c r="H712" s="2"/>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row>
    <row r="713" spans="1:77" x14ac:dyDescent="0.2">
      <c r="A713" s="2"/>
      <c r="B713" s="2"/>
      <c r="C713" s="2"/>
      <c r="D713" s="2"/>
      <c r="E713" s="2"/>
      <c r="F713" s="2"/>
      <c r="G713" s="2"/>
      <c r="H713" s="2"/>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row>
    <row r="714" spans="1:77" x14ac:dyDescent="0.2">
      <c r="A714" s="2"/>
      <c r="B714" s="2"/>
      <c r="C714" s="2"/>
      <c r="D714" s="2"/>
      <c r="E714" s="2"/>
      <c r="F714" s="2"/>
      <c r="G714" s="2"/>
      <c r="H714" s="2"/>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row>
    <row r="715" spans="1:77" x14ac:dyDescent="0.2">
      <c r="A715" s="2"/>
      <c r="B715" s="2"/>
      <c r="C715" s="2"/>
      <c r="D715" s="2"/>
      <c r="E715" s="2"/>
      <c r="F715" s="2"/>
      <c r="G715" s="2"/>
      <c r="H715" s="2"/>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row>
    <row r="716" spans="1:77" x14ac:dyDescent="0.2">
      <c r="A716" s="2"/>
      <c r="B716" s="2"/>
      <c r="C716" s="2"/>
      <c r="D716" s="2"/>
      <c r="E716" s="2"/>
      <c r="F716" s="2"/>
      <c r="G716" s="2"/>
      <c r="H716" s="2"/>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row>
    <row r="717" spans="1:77" x14ac:dyDescent="0.2">
      <c r="A717" s="2"/>
      <c r="B717" s="2"/>
      <c r="C717" s="2"/>
      <c r="D717" s="2"/>
      <c r="E717" s="2"/>
      <c r="F717" s="2"/>
      <c r="G717" s="2"/>
      <c r="H717" s="2"/>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row>
    <row r="718" spans="1:77" x14ac:dyDescent="0.2">
      <c r="A718" s="2"/>
      <c r="B718" s="2"/>
      <c r="C718" s="2"/>
      <c r="D718" s="2"/>
      <c r="E718" s="2"/>
      <c r="F718" s="2"/>
      <c r="G718" s="2"/>
      <c r="H718" s="2"/>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row>
    <row r="719" spans="1:77" x14ac:dyDescent="0.2">
      <c r="A719" s="2"/>
      <c r="B719" s="2"/>
      <c r="C719" s="2"/>
      <c r="D719" s="2"/>
      <c r="E719" s="2"/>
      <c r="F719" s="2"/>
      <c r="G719" s="2"/>
      <c r="H719" s="2"/>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row>
    <row r="720" spans="1:77" x14ac:dyDescent="0.2">
      <c r="A720" s="2"/>
      <c r="B720" s="2"/>
      <c r="C720" s="2"/>
      <c r="D720" s="2"/>
      <c r="E720" s="2"/>
      <c r="F720" s="2"/>
      <c r="G720" s="2"/>
      <c r="H720" s="2"/>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row>
    <row r="721" spans="1:77" x14ac:dyDescent="0.2">
      <c r="A721" s="2"/>
      <c r="B721" s="2"/>
      <c r="C721" s="2"/>
      <c r="D721" s="2"/>
      <c r="E721" s="2"/>
      <c r="F721" s="2"/>
      <c r="G721" s="2"/>
      <c r="H721" s="2"/>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row>
    <row r="722" spans="1:77" x14ac:dyDescent="0.2">
      <c r="A722" s="2"/>
      <c r="B722" s="2"/>
      <c r="C722" s="2"/>
      <c r="D722" s="2"/>
      <c r="E722" s="2"/>
      <c r="F722" s="2"/>
      <c r="G722" s="2"/>
      <c r="H722" s="2"/>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row>
    <row r="723" spans="1:77" x14ac:dyDescent="0.2">
      <c r="A723" s="2"/>
      <c r="B723" s="2"/>
      <c r="C723" s="2"/>
      <c r="D723" s="2"/>
      <c r="E723" s="2"/>
      <c r="F723" s="2"/>
      <c r="G723" s="2"/>
      <c r="H723" s="2"/>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row>
    <row r="724" spans="1:77" x14ac:dyDescent="0.2">
      <c r="A724" s="2"/>
      <c r="B724" s="2"/>
      <c r="C724" s="2"/>
      <c r="D724" s="2"/>
      <c r="E724" s="2"/>
      <c r="F724" s="2"/>
      <c r="G724" s="2"/>
      <c r="H724" s="2"/>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row>
    <row r="725" spans="1:77" x14ac:dyDescent="0.2">
      <c r="A725" s="2"/>
      <c r="B725" s="2"/>
      <c r="C725" s="2"/>
      <c r="D725" s="2"/>
      <c r="E725" s="2"/>
      <c r="F725" s="2"/>
      <c r="G725" s="2"/>
      <c r="H725" s="2"/>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row>
    <row r="726" spans="1:77" x14ac:dyDescent="0.2">
      <c r="A726" s="2"/>
      <c r="B726" s="2"/>
      <c r="C726" s="2"/>
      <c r="D726" s="2"/>
      <c r="E726" s="2"/>
      <c r="F726" s="2"/>
      <c r="G726" s="2"/>
      <c r="H726" s="2"/>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row>
    <row r="727" spans="1:77" x14ac:dyDescent="0.2">
      <c r="A727" s="2"/>
      <c r="B727" s="2"/>
      <c r="C727" s="2"/>
      <c r="D727" s="2"/>
      <c r="E727" s="2"/>
      <c r="F727" s="2"/>
      <c r="G727" s="2"/>
      <c r="H727" s="2"/>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row>
    <row r="728" spans="1:77" x14ac:dyDescent="0.2">
      <c r="A728" s="2"/>
      <c r="B728" s="2"/>
      <c r="C728" s="2"/>
      <c r="D728" s="2"/>
      <c r="E728" s="2"/>
      <c r="F728" s="2"/>
      <c r="G728" s="2"/>
      <c r="H728" s="2"/>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row>
    <row r="729" spans="1:77" x14ac:dyDescent="0.2">
      <c r="A729" s="2"/>
      <c r="B729" s="2"/>
      <c r="C729" s="2"/>
      <c r="D729" s="2"/>
      <c r="E729" s="2"/>
      <c r="F729" s="2"/>
      <c r="G729" s="2"/>
      <c r="H729" s="2"/>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row>
    <row r="730" spans="1:77" x14ac:dyDescent="0.2">
      <c r="A730" s="2"/>
      <c r="B730" s="2"/>
      <c r="C730" s="2"/>
      <c r="D730" s="2"/>
      <c r="E730" s="2"/>
      <c r="F730" s="2"/>
      <c r="G730" s="2"/>
      <c r="H730" s="2"/>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row>
    <row r="731" spans="1:77" x14ac:dyDescent="0.2">
      <c r="A731" s="2"/>
      <c r="B731" s="2"/>
      <c r="C731" s="2"/>
      <c r="D731" s="2"/>
      <c r="E731" s="2"/>
      <c r="F731" s="2"/>
      <c r="G731" s="2"/>
      <c r="H731" s="2"/>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row>
    <row r="732" spans="1:77" x14ac:dyDescent="0.2">
      <c r="A732" s="2"/>
      <c r="B732" s="2"/>
      <c r="C732" s="2"/>
      <c r="D732" s="2"/>
      <c r="E732" s="2"/>
      <c r="F732" s="2"/>
      <c r="G732" s="2"/>
      <c r="H732" s="2"/>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row>
    <row r="733" spans="1:77" x14ac:dyDescent="0.2">
      <c r="A733" s="2"/>
      <c r="B733" s="2"/>
      <c r="C733" s="2"/>
      <c r="D733" s="2"/>
      <c r="E733" s="2"/>
      <c r="F733" s="2"/>
      <c r="G733" s="2"/>
      <c r="H733" s="2"/>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row>
    <row r="734" spans="1:77" x14ac:dyDescent="0.2">
      <c r="A734" s="2"/>
      <c r="B734" s="2"/>
      <c r="C734" s="2"/>
      <c r="D734" s="2"/>
      <c r="E734" s="2"/>
      <c r="F734" s="2"/>
      <c r="G734" s="2"/>
      <c r="H734" s="2"/>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row>
    <row r="735" spans="1:77" x14ac:dyDescent="0.2">
      <c r="A735" s="2"/>
      <c r="B735" s="2"/>
      <c r="C735" s="2"/>
      <c r="D735" s="2"/>
      <c r="E735" s="2"/>
      <c r="F735" s="2"/>
      <c r="G735" s="2"/>
      <c r="H735" s="2"/>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row>
    <row r="736" spans="1:77" x14ac:dyDescent="0.2">
      <c r="A736" s="2"/>
      <c r="B736" s="2"/>
      <c r="C736" s="2"/>
      <c r="D736" s="2"/>
      <c r="E736" s="2"/>
      <c r="F736" s="2"/>
      <c r="G736" s="2"/>
      <c r="H736" s="2"/>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row>
    <row r="737" spans="1:77" x14ac:dyDescent="0.2">
      <c r="A737" s="2"/>
      <c r="B737" s="2"/>
      <c r="C737" s="2"/>
      <c r="D737" s="2"/>
      <c r="E737" s="2"/>
      <c r="F737" s="2"/>
      <c r="G737" s="2"/>
      <c r="H737" s="2"/>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row>
    <row r="738" spans="1:77" x14ac:dyDescent="0.2">
      <c r="A738" s="2"/>
      <c r="B738" s="2"/>
      <c r="C738" s="2"/>
      <c r="D738" s="2"/>
      <c r="E738" s="2"/>
      <c r="F738" s="2"/>
      <c r="G738" s="2"/>
      <c r="H738" s="2"/>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row>
    <row r="739" spans="1:77" x14ac:dyDescent="0.2">
      <c r="A739" s="2"/>
      <c r="B739" s="2"/>
      <c r="C739" s="2"/>
      <c r="D739" s="2"/>
      <c r="E739" s="2"/>
      <c r="F739" s="2"/>
      <c r="G739" s="2"/>
      <c r="H739" s="2"/>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row>
    <row r="740" spans="1:77" x14ac:dyDescent="0.2">
      <c r="A740" s="2"/>
      <c r="B740" s="2"/>
      <c r="C740" s="2"/>
      <c r="D740" s="2"/>
      <c r="E740" s="2"/>
      <c r="F740" s="2"/>
      <c r="G740" s="2"/>
      <c r="H740" s="2"/>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row>
    <row r="741" spans="1:77" x14ac:dyDescent="0.2">
      <c r="A741" s="2"/>
      <c r="B741" s="2"/>
      <c r="C741" s="2"/>
      <c r="D741" s="2"/>
      <c r="E741" s="2"/>
      <c r="F741" s="2"/>
      <c r="G741" s="2"/>
      <c r="H741" s="2"/>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row>
    <row r="742" spans="1:77" x14ac:dyDescent="0.2">
      <c r="A742" s="2"/>
      <c r="B742" s="2"/>
      <c r="C742" s="2"/>
      <c r="D742" s="2"/>
      <c r="E742" s="2"/>
      <c r="F742" s="2"/>
      <c r="G742" s="2"/>
      <c r="H742" s="2"/>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row>
    <row r="743" spans="1:77" x14ac:dyDescent="0.2">
      <c r="A743" s="2"/>
      <c r="B743" s="2"/>
      <c r="C743" s="2"/>
      <c r="D743" s="2"/>
      <c r="E743" s="2"/>
      <c r="F743" s="2"/>
      <c r="G743" s="2"/>
      <c r="H743" s="2"/>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row>
    <row r="744" spans="1:77" x14ac:dyDescent="0.2">
      <c r="A744" s="2"/>
      <c r="B744" s="2"/>
      <c r="C744" s="2"/>
      <c r="D744" s="2"/>
      <c r="E744" s="2"/>
      <c r="F744" s="2"/>
      <c r="G744" s="2"/>
      <c r="H744" s="2"/>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row>
    <row r="745" spans="1:77" x14ac:dyDescent="0.2">
      <c r="A745" s="2"/>
      <c r="B745" s="2"/>
      <c r="C745" s="2"/>
      <c r="D745" s="2"/>
      <c r="E745" s="2"/>
      <c r="F745" s="2"/>
      <c r="G745" s="2"/>
      <c r="H745" s="2"/>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row>
    <row r="746" spans="1:77" x14ac:dyDescent="0.2">
      <c r="A746" s="2"/>
      <c r="B746" s="2"/>
      <c r="C746" s="2"/>
      <c r="D746" s="2"/>
      <c r="E746" s="2"/>
      <c r="F746" s="2"/>
      <c r="G746" s="2"/>
      <c r="H746" s="2"/>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row>
    <row r="747" spans="1:77" x14ac:dyDescent="0.2">
      <c r="A747" s="2"/>
      <c r="B747" s="2"/>
      <c r="C747" s="2"/>
      <c r="D747" s="2"/>
      <c r="E747" s="2"/>
      <c r="F747" s="2"/>
      <c r="G747" s="2"/>
      <c r="H747" s="2"/>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row>
    <row r="748" spans="1:77" x14ac:dyDescent="0.2">
      <c r="A748" s="2"/>
      <c r="B748" s="2"/>
      <c r="C748" s="2"/>
      <c r="D748" s="2"/>
      <c r="E748" s="2"/>
      <c r="F748" s="2"/>
      <c r="G748" s="2"/>
      <c r="H748" s="2"/>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row>
    <row r="749" spans="1:77" x14ac:dyDescent="0.2">
      <c r="A749" s="2"/>
      <c r="B749" s="2"/>
      <c r="C749" s="2"/>
      <c r="D749" s="2"/>
      <c r="E749" s="2"/>
      <c r="F749" s="2"/>
      <c r="G749" s="2"/>
      <c r="H749" s="2"/>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row>
    <row r="750" spans="1:77" x14ac:dyDescent="0.2">
      <c r="A750" s="2"/>
      <c r="B750" s="2"/>
      <c r="C750" s="2"/>
      <c r="D750" s="2"/>
      <c r="E750" s="2"/>
      <c r="F750" s="2"/>
      <c r="G750" s="2"/>
      <c r="H750" s="2"/>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row>
    <row r="751" spans="1:77" x14ac:dyDescent="0.2">
      <c r="A751" s="2"/>
      <c r="B751" s="2"/>
      <c r="C751" s="2"/>
      <c r="D751" s="2"/>
      <c r="E751" s="2"/>
      <c r="F751" s="2"/>
      <c r="G751" s="2"/>
      <c r="H751" s="2"/>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row>
    <row r="752" spans="1:77" x14ac:dyDescent="0.2">
      <c r="A752" s="2"/>
      <c r="B752" s="2"/>
      <c r="C752" s="2"/>
      <c r="D752" s="2"/>
      <c r="E752" s="2"/>
      <c r="F752" s="2"/>
      <c r="G752" s="2"/>
      <c r="H752" s="2"/>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row>
    <row r="753" spans="1:77" x14ac:dyDescent="0.2">
      <c r="A753" s="2"/>
      <c r="B753" s="2"/>
      <c r="C753" s="2"/>
      <c r="D753" s="2"/>
      <c r="E753" s="2"/>
      <c r="F753" s="2"/>
      <c r="G753" s="2"/>
      <c r="H753" s="2"/>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row>
    <row r="754" spans="1:77" x14ac:dyDescent="0.2">
      <c r="A754" s="2"/>
      <c r="B754" s="2"/>
      <c r="C754" s="2"/>
      <c r="D754" s="2"/>
      <c r="E754" s="2"/>
      <c r="F754" s="2"/>
      <c r="G754" s="2"/>
      <c r="H754" s="2"/>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row>
    <row r="755" spans="1:77" x14ac:dyDescent="0.2">
      <c r="A755" s="2"/>
      <c r="B755" s="2"/>
      <c r="C755" s="2"/>
      <c r="D755" s="2"/>
      <c r="E755" s="2"/>
      <c r="F755" s="2"/>
      <c r="G755" s="2"/>
      <c r="H755" s="2"/>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row>
    <row r="756" spans="1:77" x14ac:dyDescent="0.2">
      <c r="A756" s="2"/>
      <c r="B756" s="2"/>
      <c r="C756" s="2"/>
      <c r="D756" s="2"/>
      <c r="E756" s="2"/>
      <c r="F756" s="2"/>
      <c r="G756" s="2"/>
      <c r="H756" s="2"/>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row>
    <row r="757" spans="1:77" x14ac:dyDescent="0.2">
      <c r="A757" s="2"/>
      <c r="B757" s="2"/>
      <c r="C757" s="2"/>
      <c r="D757" s="2"/>
      <c r="E757" s="2"/>
      <c r="F757" s="2"/>
      <c r="G757" s="2"/>
      <c r="H757" s="2"/>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row>
    <row r="758" spans="1:77" x14ac:dyDescent="0.2">
      <c r="A758" s="2"/>
      <c r="B758" s="2"/>
      <c r="C758" s="2"/>
      <c r="D758" s="2"/>
      <c r="E758" s="2"/>
      <c r="F758" s="2"/>
      <c r="G758" s="2"/>
      <c r="H758" s="2"/>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row>
    <row r="759" spans="1:77" x14ac:dyDescent="0.2">
      <c r="A759" s="2"/>
      <c r="B759" s="2"/>
      <c r="C759" s="2"/>
      <c r="D759" s="2"/>
      <c r="E759" s="2"/>
      <c r="F759" s="2"/>
      <c r="G759" s="2"/>
      <c r="H759" s="2"/>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row>
    <row r="760" spans="1:77" x14ac:dyDescent="0.2">
      <c r="A760" s="2"/>
      <c r="B760" s="2"/>
      <c r="C760" s="2"/>
      <c r="D760" s="2"/>
      <c r="E760" s="2"/>
      <c r="F760" s="2"/>
      <c r="G760" s="2"/>
      <c r="H760" s="2"/>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row>
    <row r="761" spans="1:77" x14ac:dyDescent="0.2">
      <c r="A761" s="2"/>
      <c r="B761" s="2"/>
      <c r="C761" s="2"/>
      <c r="D761" s="2"/>
      <c r="E761" s="2"/>
      <c r="F761" s="2"/>
      <c r="G761" s="2"/>
      <c r="H761" s="2"/>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row>
    <row r="762" spans="1:77" x14ac:dyDescent="0.2">
      <c r="A762" s="2"/>
      <c r="B762" s="2"/>
      <c r="C762" s="2"/>
      <c r="D762" s="2"/>
      <c r="E762" s="2"/>
      <c r="F762" s="2"/>
      <c r="G762" s="2"/>
      <c r="H762" s="2"/>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row>
    <row r="763" spans="1:77" x14ac:dyDescent="0.2">
      <c r="A763" s="2"/>
      <c r="B763" s="2"/>
      <c r="C763" s="2"/>
      <c r="D763" s="2"/>
      <c r="E763" s="2"/>
      <c r="F763" s="2"/>
      <c r="G763" s="2"/>
      <c r="H763" s="2"/>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row>
    <row r="764" spans="1:77" x14ac:dyDescent="0.2">
      <c r="A764" s="2"/>
      <c r="B764" s="2"/>
      <c r="C764" s="2"/>
      <c r="D764" s="2"/>
      <c r="E764" s="2"/>
      <c r="F764" s="2"/>
      <c r="G764" s="2"/>
      <c r="H764" s="2"/>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row>
    <row r="765" spans="1:77" x14ac:dyDescent="0.2">
      <c r="A765" s="2"/>
      <c r="B765" s="2"/>
      <c r="C765" s="2"/>
      <c r="D765" s="2"/>
      <c r="E765" s="2"/>
      <c r="F765" s="2"/>
      <c r="G765" s="2"/>
      <c r="H765" s="2"/>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row>
    <row r="766" spans="1:77" x14ac:dyDescent="0.2">
      <c r="A766" s="2"/>
      <c r="B766" s="2"/>
      <c r="C766" s="2"/>
      <c r="D766" s="2"/>
      <c r="E766" s="2"/>
      <c r="F766" s="2"/>
      <c r="G766" s="2"/>
      <c r="H766" s="2"/>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row>
    <row r="767" spans="1:77" x14ac:dyDescent="0.2">
      <c r="A767" s="2"/>
      <c r="B767" s="2"/>
      <c r="C767" s="2"/>
      <c r="D767" s="2"/>
      <c r="E767" s="2"/>
      <c r="F767" s="2"/>
      <c r="G767" s="2"/>
      <c r="H767" s="2"/>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row>
    <row r="768" spans="1:77" x14ac:dyDescent="0.2">
      <c r="A768" s="2"/>
      <c r="B768" s="2"/>
      <c r="C768" s="2"/>
      <c r="D768" s="2"/>
      <c r="E768" s="2"/>
      <c r="F768" s="2"/>
      <c r="G768" s="2"/>
      <c r="H768" s="2"/>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row>
    <row r="769" spans="1:77" x14ac:dyDescent="0.2">
      <c r="A769" s="2"/>
      <c r="B769" s="2"/>
      <c r="C769" s="2"/>
      <c r="D769" s="2"/>
      <c r="E769" s="2"/>
      <c r="F769" s="2"/>
      <c r="G769" s="2"/>
      <c r="H769" s="2"/>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row>
    <row r="770" spans="1:77" x14ac:dyDescent="0.2">
      <c r="A770" s="2"/>
      <c r="B770" s="2"/>
      <c r="C770" s="2"/>
      <c r="D770" s="2"/>
      <c r="E770" s="2"/>
      <c r="F770" s="2"/>
      <c r="G770" s="2"/>
      <c r="H770" s="2"/>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row>
    <row r="771" spans="1:77" x14ac:dyDescent="0.2">
      <c r="A771" s="2"/>
      <c r="B771" s="2"/>
      <c r="C771" s="2"/>
      <c r="D771" s="2"/>
      <c r="E771" s="2"/>
      <c r="F771" s="2"/>
      <c r="G771" s="2"/>
      <c r="H771" s="2"/>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row>
    <row r="772" spans="1:77" x14ac:dyDescent="0.2">
      <c r="A772" s="2"/>
      <c r="B772" s="2"/>
      <c r="C772" s="2"/>
      <c r="D772" s="2"/>
      <c r="E772" s="2"/>
      <c r="F772" s="2"/>
      <c r="G772" s="2"/>
      <c r="H772" s="2"/>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row>
    <row r="773" spans="1:77" x14ac:dyDescent="0.2">
      <c r="A773" s="2"/>
      <c r="B773" s="2"/>
      <c r="C773" s="2"/>
      <c r="D773" s="2"/>
      <c r="E773" s="2"/>
      <c r="F773" s="2"/>
      <c r="G773" s="2"/>
      <c r="H773" s="2"/>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row>
    <row r="774" spans="1:77" x14ac:dyDescent="0.2">
      <c r="A774" s="2"/>
      <c r="B774" s="2"/>
      <c r="C774" s="2"/>
      <c r="D774" s="2"/>
      <c r="E774" s="2"/>
      <c r="F774" s="2"/>
      <c r="G774" s="2"/>
      <c r="H774" s="2"/>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row>
    <row r="775" spans="1:77" x14ac:dyDescent="0.2">
      <c r="A775" s="2"/>
      <c r="B775" s="2"/>
      <c r="C775" s="2"/>
      <c r="D775" s="2"/>
      <c r="E775" s="2"/>
      <c r="F775" s="2"/>
      <c r="G775" s="2"/>
      <c r="H775" s="2"/>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row>
    <row r="776" spans="1:77" x14ac:dyDescent="0.2">
      <c r="A776" s="2"/>
      <c r="B776" s="2"/>
      <c r="C776" s="2"/>
      <c r="D776" s="2"/>
      <c r="E776" s="2"/>
      <c r="F776" s="2"/>
      <c r="G776" s="2"/>
      <c r="H776" s="2"/>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row>
    <row r="777" spans="1:77" x14ac:dyDescent="0.2">
      <c r="A777" s="2"/>
      <c r="B777" s="2"/>
      <c r="C777" s="2"/>
      <c r="D777" s="2"/>
      <c r="E777" s="2"/>
      <c r="F777" s="2"/>
      <c r="G777" s="2"/>
      <c r="H777" s="2"/>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row>
    <row r="778" spans="1:77" x14ac:dyDescent="0.2">
      <c r="A778" s="2"/>
      <c r="B778" s="2"/>
      <c r="C778" s="2"/>
      <c r="D778" s="2"/>
      <c r="E778" s="2"/>
      <c r="F778" s="2"/>
      <c r="G778" s="2"/>
      <c r="H778" s="2"/>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row>
    <row r="779" spans="1:77" x14ac:dyDescent="0.2">
      <c r="A779" s="2"/>
      <c r="B779" s="2"/>
      <c r="C779" s="2"/>
      <c r="D779" s="2"/>
      <c r="E779" s="2"/>
      <c r="F779" s="2"/>
      <c r="G779" s="2"/>
      <c r="H779" s="2"/>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row>
    <row r="780" spans="1:77" x14ac:dyDescent="0.2">
      <c r="A780" s="2"/>
      <c r="B780" s="2"/>
      <c r="C780" s="2"/>
      <c r="D780" s="2"/>
      <c r="E780" s="2"/>
      <c r="F780" s="2"/>
      <c r="G780" s="2"/>
      <c r="H780" s="2"/>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row>
    <row r="781" spans="1:77" x14ac:dyDescent="0.2">
      <c r="A781" s="2"/>
      <c r="B781" s="2"/>
      <c r="C781" s="2"/>
      <c r="D781" s="2"/>
      <c r="E781" s="2"/>
      <c r="F781" s="2"/>
      <c r="G781" s="2"/>
      <c r="H781" s="2"/>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row>
    <row r="782" spans="1:77" x14ac:dyDescent="0.2">
      <c r="A782" s="2"/>
      <c r="B782" s="2"/>
      <c r="C782" s="2"/>
      <c r="D782" s="2"/>
      <c r="E782" s="2"/>
      <c r="F782" s="2"/>
      <c r="G782" s="2"/>
      <c r="H782" s="2"/>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row>
    <row r="783" spans="1:77" x14ac:dyDescent="0.2">
      <c r="A783" s="2"/>
      <c r="B783" s="2"/>
      <c r="C783" s="2"/>
      <c r="D783" s="2"/>
      <c r="E783" s="2"/>
      <c r="F783" s="2"/>
      <c r="G783" s="2"/>
      <c r="H783" s="2"/>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row>
    <row r="784" spans="1:77" x14ac:dyDescent="0.2">
      <c r="A784" s="2"/>
      <c r="B784" s="2"/>
      <c r="C784" s="2"/>
      <c r="D784" s="2"/>
      <c r="E784" s="2"/>
      <c r="F784" s="2"/>
      <c r="G784" s="2"/>
      <c r="H784" s="2"/>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row>
    <row r="785" spans="1:77" x14ac:dyDescent="0.2">
      <c r="A785" s="2"/>
      <c r="B785" s="2"/>
      <c r="C785" s="2"/>
      <c r="D785" s="2"/>
      <c r="E785" s="2"/>
      <c r="F785" s="2"/>
      <c r="G785" s="2"/>
      <c r="H785" s="2"/>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row>
    <row r="786" spans="1:77" x14ac:dyDescent="0.2">
      <c r="A786" s="2"/>
      <c r="B786" s="2"/>
      <c r="C786" s="2"/>
      <c r="D786" s="2"/>
      <c r="E786" s="2"/>
      <c r="F786" s="2"/>
      <c r="G786" s="2"/>
      <c r="H786" s="2"/>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row>
    <row r="787" spans="1:77" x14ac:dyDescent="0.2">
      <c r="A787" s="2"/>
      <c r="B787" s="2"/>
      <c r="C787" s="2"/>
      <c r="D787" s="2"/>
      <c r="E787" s="2"/>
      <c r="F787" s="2"/>
      <c r="G787" s="2"/>
      <c r="H787" s="2"/>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row>
    <row r="788" spans="1:77" x14ac:dyDescent="0.2">
      <c r="A788" s="2"/>
      <c r="B788" s="2"/>
      <c r="C788" s="2"/>
      <c r="D788" s="2"/>
      <c r="E788" s="2"/>
      <c r="F788" s="2"/>
      <c r="G788" s="2"/>
      <c r="H788" s="2"/>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row>
    <row r="789" spans="1:77" x14ac:dyDescent="0.2">
      <c r="A789" s="2"/>
      <c r="B789" s="2"/>
      <c r="C789" s="2"/>
      <c r="D789" s="2"/>
      <c r="E789" s="2"/>
      <c r="F789" s="2"/>
      <c r="G789" s="2"/>
      <c r="H789" s="2"/>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row>
    <row r="790" spans="1:77" x14ac:dyDescent="0.2">
      <c r="A790" s="2"/>
      <c r="B790" s="2"/>
      <c r="C790" s="2"/>
      <c r="D790" s="2"/>
      <c r="E790" s="2"/>
      <c r="F790" s="2"/>
      <c r="G790" s="2"/>
      <c r="H790" s="2"/>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row>
    <row r="791" spans="1:77" x14ac:dyDescent="0.2">
      <c r="A791" s="2"/>
      <c r="B791" s="2"/>
      <c r="C791" s="2"/>
      <c r="D791" s="2"/>
      <c r="E791" s="2"/>
      <c r="F791" s="2"/>
      <c r="G791" s="2"/>
      <c r="H791" s="2"/>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row>
    <row r="792" spans="1:77" x14ac:dyDescent="0.2">
      <c r="A792" s="2"/>
      <c r="B792" s="2"/>
      <c r="C792" s="2"/>
      <c r="D792" s="2"/>
      <c r="E792" s="2"/>
      <c r="F792" s="2"/>
      <c r="G792" s="2"/>
      <c r="H792" s="2"/>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row>
    <row r="793" spans="1:77" x14ac:dyDescent="0.2">
      <c r="A793" s="2"/>
      <c r="B793" s="2"/>
      <c r="C793" s="2"/>
      <c r="D793" s="2"/>
      <c r="E793" s="2"/>
      <c r="F793" s="2"/>
      <c r="G793" s="2"/>
      <c r="H793" s="2"/>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row>
    <row r="794" spans="1:77" x14ac:dyDescent="0.2">
      <c r="A794" s="2"/>
      <c r="B794" s="2"/>
      <c r="C794" s="2"/>
      <c r="D794" s="2"/>
      <c r="E794" s="2"/>
      <c r="F794" s="2"/>
      <c r="G794" s="2"/>
      <c r="H794" s="2"/>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row>
    <row r="795" spans="1:77" x14ac:dyDescent="0.2">
      <c r="A795" s="2"/>
      <c r="B795" s="2"/>
      <c r="C795" s="2"/>
      <c r="D795" s="2"/>
      <c r="E795" s="2"/>
      <c r="F795" s="2"/>
      <c r="G795" s="2"/>
      <c r="H795" s="2"/>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row>
    <row r="796" spans="1:77" x14ac:dyDescent="0.2">
      <c r="A796" s="2"/>
      <c r="B796" s="2"/>
      <c r="C796" s="2"/>
      <c r="D796" s="2"/>
      <c r="E796" s="2"/>
      <c r="F796" s="2"/>
      <c r="G796" s="2"/>
      <c r="H796" s="2"/>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row>
    <row r="797" spans="1:77" x14ac:dyDescent="0.2">
      <c r="A797" s="2"/>
      <c r="B797" s="2"/>
      <c r="C797" s="2"/>
      <c r="D797" s="2"/>
      <c r="E797" s="2"/>
      <c r="F797" s="2"/>
      <c r="G797" s="2"/>
      <c r="H797" s="2"/>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row>
    <row r="798" spans="1:77" x14ac:dyDescent="0.2">
      <c r="A798" s="2"/>
      <c r="B798" s="2"/>
      <c r="C798" s="2"/>
      <c r="D798" s="2"/>
      <c r="E798" s="2"/>
      <c r="F798" s="2"/>
      <c r="G798" s="2"/>
      <c r="H798" s="2"/>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row>
    <row r="799" spans="1:77" x14ac:dyDescent="0.2">
      <c r="A799" s="2"/>
      <c r="B799" s="2"/>
      <c r="C799" s="2"/>
      <c r="D799" s="2"/>
      <c r="E799" s="2"/>
      <c r="F799" s="2"/>
      <c r="G799" s="2"/>
      <c r="H799" s="2"/>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row>
    <row r="800" spans="1:77" x14ac:dyDescent="0.2">
      <c r="A800" s="2"/>
      <c r="B800" s="2"/>
      <c r="C800" s="2"/>
      <c r="D800" s="2"/>
      <c r="E800" s="2"/>
      <c r="F800" s="2"/>
      <c r="G800" s="2"/>
      <c r="H800" s="2"/>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row>
    <row r="801" spans="1:77" x14ac:dyDescent="0.2">
      <c r="A801" s="2"/>
      <c r="B801" s="2"/>
      <c r="C801" s="2"/>
      <c r="D801" s="2"/>
      <c r="E801" s="2"/>
      <c r="F801" s="2"/>
      <c r="G801" s="2"/>
      <c r="H801" s="2"/>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row>
    <row r="802" spans="1:77" x14ac:dyDescent="0.2">
      <c r="A802" s="2"/>
      <c r="B802" s="2"/>
      <c r="C802" s="2"/>
      <c r="D802" s="2"/>
      <c r="E802" s="2"/>
      <c r="F802" s="2"/>
      <c r="G802" s="2"/>
      <c r="H802" s="2"/>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row>
    <row r="803" spans="1:77" x14ac:dyDescent="0.2">
      <c r="A803" s="2"/>
      <c r="B803" s="2"/>
      <c r="C803" s="2"/>
      <c r="D803" s="2"/>
      <c r="E803" s="2"/>
      <c r="F803" s="2"/>
      <c r="G803" s="2"/>
      <c r="H803" s="2"/>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row>
    <row r="804" spans="1:77" x14ac:dyDescent="0.2">
      <c r="A804" s="2"/>
      <c r="B804" s="2"/>
      <c r="C804" s="2"/>
      <c r="D804" s="2"/>
      <c r="E804" s="2"/>
      <c r="F804" s="2"/>
      <c r="G804" s="2"/>
      <c r="H804" s="2"/>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row>
    <row r="805" spans="1:77" x14ac:dyDescent="0.2">
      <c r="A805" s="2"/>
      <c r="B805" s="2"/>
      <c r="C805" s="2"/>
      <c r="D805" s="2"/>
      <c r="E805" s="2"/>
      <c r="F805" s="2"/>
      <c r="G805" s="2"/>
      <c r="H805" s="2"/>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row>
    <row r="806" spans="1:77" x14ac:dyDescent="0.2">
      <c r="A806" s="2"/>
      <c r="B806" s="2"/>
      <c r="C806" s="2"/>
      <c r="D806" s="2"/>
      <c r="E806" s="2"/>
      <c r="F806" s="2"/>
      <c r="G806" s="2"/>
      <c r="H806" s="2"/>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row>
    <row r="807" spans="1:77" x14ac:dyDescent="0.2">
      <c r="A807" s="2"/>
      <c r="B807" s="2"/>
      <c r="C807" s="2"/>
      <c r="D807" s="2"/>
      <c r="E807" s="2"/>
      <c r="F807" s="2"/>
      <c r="G807" s="2"/>
      <c r="H807" s="2"/>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row>
    <row r="808" spans="1:77" x14ac:dyDescent="0.2">
      <c r="A808" s="2"/>
      <c r="B808" s="2"/>
      <c r="C808" s="2"/>
      <c r="D808" s="2"/>
      <c r="E808" s="2"/>
      <c r="F808" s="2"/>
      <c r="G808" s="2"/>
      <c r="H808" s="2"/>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row>
    <row r="809" spans="1:77" x14ac:dyDescent="0.2">
      <c r="A809" s="2"/>
      <c r="B809" s="2"/>
      <c r="C809" s="2"/>
      <c r="D809" s="2"/>
      <c r="E809" s="2"/>
      <c r="F809" s="2"/>
      <c r="G809" s="2"/>
      <c r="H809" s="2"/>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row>
    <row r="810" spans="1:77" x14ac:dyDescent="0.2">
      <c r="A810" s="2"/>
      <c r="B810" s="2"/>
      <c r="C810" s="2"/>
      <c r="D810" s="2"/>
      <c r="E810" s="2"/>
      <c r="F810" s="2"/>
      <c r="G810" s="2"/>
      <c r="H810" s="2"/>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row>
    <row r="811" spans="1:77" x14ac:dyDescent="0.2">
      <c r="A811" s="2"/>
      <c r="B811" s="2"/>
      <c r="C811" s="2"/>
      <c r="D811" s="2"/>
      <c r="E811" s="2"/>
      <c r="F811" s="2"/>
      <c r="G811" s="2"/>
      <c r="H811" s="2"/>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row>
    <row r="812" spans="1:77" x14ac:dyDescent="0.2">
      <c r="A812" s="2"/>
      <c r="B812" s="2"/>
      <c r="C812" s="2"/>
      <c r="D812" s="2"/>
      <c r="E812" s="2"/>
      <c r="F812" s="2"/>
      <c r="G812" s="2"/>
      <c r="H812" s="2"/>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row>
    <row r="813" spans="1:77" x14ac:dyDescent="0.2">
      <c r="A813" s="2"/>
      <c r="B813" s="2"/>
      <c r="C813" s="2"/>
      <c r="D813" s="2"/>
      <c r="E813" s="2"/>
      <c r="F813" s="2"/>
      <c r="G813" s="2"/>
      <c r="H813" s="2"/>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row>
    <row r="814" spans="1:77" x14ac:dyDescent="0.2">
      <c r="A814" s="2"/>
      <c r="B814" s="2"/>
      <c r="C814" s="2"/>
      <c r="D814" s="2"/>
      <c r="E814" s="2"/>
      <c r="F814" s="2"/>
      <c r="G814" s="2"/>
      <c r="H814" s="2"/>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row>
    <row r="815" spans="1:77" x14ac:dyDescent="0.2">
      <c r="A815" s="2"/>
      <c r="B815" s="2"/>
      <c r="C815" s="2"/>
      <c r="D815" s="2"/>
      <c r="E815" s="2"/>
      <c r="F815" s="2"/>
      <c r="G815" s="2"/>
      <c r="H815" s="2"/>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row>
    <row r="816" spans="1:77" x14ac:dyDescent="0.2">
      <c r="A816" s="2"/>
      <c r="B816" s="2"/>
      <c r="C816" s="2"/>
      <c r="D816" s="2"/>
      <c r="E816" s="2"/>
      <c r="F816" s="2"/>
      <c r="G816" s="2"/>
      <c r="H816" s="2"/>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row>
    <row r="817" spans="1:77" x14ac:dyDescent="0.2">
      <c r="A817" s="2"/>
      <c r="B817" s="2"/>
      <c r="C817" s="2"/>
      <c r="D817" s="2"/>
      <c r="E817" s="2"/>
      <c r="F817" s="2"/>
      <c r="G817" s="2"/>
      <c r="H817" s="2"/>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row>
    <row r="818" spans="1:77" x14ac:dyDescent="0.2">
      <c r="A818" s="2"/>
      <c r="B818" s="2"/>
      <c r="C818" s="2"/>
      <c r="D818" s="2"/>
      <c r="E818" s="2"/>
      <c r="F818" s="2"/>
      <c r="G818" s="2"/>
      <c r="H818" s="2"/>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row>
    <row r="819" spans="1:77" x14ac:dyDescent="0.2">
      <c r="A819" s="2"/>
      <c r="B819" s="2"/>
      <c r="C819" s="2"/>
      <c r="D819" s="2"/>
      <c r="E819" s="2"/>
      <c r="F819" s="2"/>
      <c r="G819" s="2"/>
      <c r="H819" s="2"/>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row>
    <row r="820" spans="1:77" x14ac:dyDescent="0.2">
      <c r="A820" s="2"/>
      <c r="B820" s="2"/>
      <c r="C820" s="2"/>
      <c r="D820" s="2"/>
      <c r="E820" s="2"/>
      <c r="F820" s="2"/>
      <c r="G820" s="2"/>
      <c r="H820" s="2"/>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row>
    <row r="821" spans="1:77" x14ac:dyDescent="0.2">
      <c r="A821" s="2"/>
      <c r="B821" s="2"/>
      <c r="C821" s="2"/>
      <c r="D821" s="2"/>
      <c r="E821" s="2"/>
      <c r="F821" s="2"/>
      <c r="G821" s="2"/>
      <c r="H821" s="2"/>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row>
    <row r="822" spans="1:77" x14ac:dyDescent="0.2">
      <c r="A822" s="2"/>
      <c r="B822" s="2"/>
      <c r="C822" s="2"/>
      <c r="D822" s="2"/>
      <c r="E822" s="2"/>
      <c r="F822" s="2"/>
      <c r="G822" s="2"/>
      <c r="H822" s="2"/>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row>
    <row r="823" spans="1:77" x14ac:dyDescent="0.2">
      <c r="A823" s="2"/>
      <c r="B823" s="2"/>
      <c r="C823" s="2"/>
      <c r="D823" s="2"/>
      <c r="E823" s="2"/>
      <c r="F823" s="2"/>
      <c r="G823" s="2"/>
      <c r="H823" s="2"/>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row>
    <row r="824" spans="1:77" x14ac:dyDescent="0.2">
      <c r="A824" s="2"/>
      <c r="B824" s="2"/>
      <c r="C824" s="2"/>
      <c r="D824" s="2"/>
      <c r="E824" s="2"/>
      <c r="F824" s="2"/>
      <c r="G824" s="2"/>
      <c r="H824" s="2"/>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row>
    <row r="825" spans="1:77" x14ac:dyDescent="0.2">
      <c r="A825" s="2"/>
      <c r="B825" s="2"/>
      <c r="C825" s="2"/>
      <c r="D825" s="2"/>
      <c r="E825" s="2"/>
      <c r="F825" s="2"/>
      <c r="G825" s="2"/>
      <c r="H825" s="2"/>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row>
    <row r="826" spans="1:77" x14ac:dyDescent="0.2">
      <c r="A826" s="2"/>
      <c r="B826" s="2"/>
      <c r="C826" s="2"/>
      <c r="D826" s="2"/>
      <c r="E826" s="2"/>
      <c r="F826" s="2"/>
      <c r="G826" s="2"/>
      <c r="H826" s="2"/>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row>
    <row r="827" spans="1:77" x14ac:dyDescent="0.2">
      <c r="A827" s="2"/>
      <c r="B827" s="2"/>
      <c r="C827" s="2"/>
      <c r="D827" s="2"/>
      <c r="E827" s="2"/>
      <c r="F827" s="2"/>
      <c r="G827" s="2"/>
      <c r="H827" s="2"/>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row>
    <row r="828" spans="1:77" x14ac:dyDescent="0.2">
      <c r="A828" s="2"/>
      <c r="B828" s="2"/>
      <c r="C828" s="2"/>
      <c r="D828" s="2"/>
      <c r="E828" s="2"/>
      <c r="F828" s="2"/>
      <c r="G828" s="2"/>
      <c r="H828" s="2"/>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row>
    <row r="829" spans="1:77" x14ac:dyDescent="0.2">
      <c r="A829" s="2"/>
      <c r="B829" s="2"/>
      <c r="C829" s="2"/>
      <c r="D829" s="2"/>
      <c r="E829" s="2"/>
      <c r="F829" s="2"/>
      <c r="G829" s="2"/>
      <c r="H829" s="2"/>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row>
    <row r="830" spans="1:77" x14ac:dyDescent="0.2">
      <c r="A830" s="2"/>
      <c r="B830" s="2"/>
      <c r="C830" s="2"/>
      <c r="D830" s="2"/>
      <c r="E830" s="2"/>
      <c r="F830" s="2"/>
      <c r="G830" s="2"/>
      <c r="H830" s="2"/>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row>
    <row r="831" spans="1:77" x14ac:dyDescent="0.2">
      <c r="A831" s="2"/>
      <c r="B831" s="2"/>
      <c r="C831" s="2"/>
      <c r="D831" s="2"/>
      <c r="E831" s="2"/>
      <c r="F831" s="2"/>
      <c r="G831" s="2"/>
      <c r="H831" s="2"/>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row>
    <row r="832" spans="1:77" x14ac:dyDescent="0.2">
      <c r="A832" s="2"/>
      <c r="B832" s="2"/>
      <c r="C832" s="2"/>
      <c r="D832" s="2"/>
      <c r="E832" s="2"/>
      <c r="F832" s="2"/>
      <c r="G832" s="2"/>
      <c r="H832" s="2"/>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row>
    <row r="833" spans="1:77" x14ac:dyDescent="0.2">
      <c r="A833" s="2"/>
      <c r="B833" s="2"/>
      <c r="C833" s="2"/>
      <c r="D833" s="2"/>
      <c r="E833" s="2"/>
      <c r="F833" s="2"/>
      <c r="G833" s="2"/>
      <c r="H833" s="2"/>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row>
    <row r="834" spans="1:77" x14ac:dyDescent="0.2">
      <c r="A834" s="2"/>
      <c r="B834" s="2"/>
      <c r="C834" s="2"/>
      <c r="D834" s="2"/>
      <c r="E834" s="2"/>
      <c r="F834" s="2"/>
      <c r="G834" s="2"/>
      <c r="H834" s="2"/>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row>
    <row r="835" spans="1:77" x14ac:dyDescent="0.2">
      <c r="A835" s="2"/>
      <c r="B835" s="2"/>
      <c r="C835" s="2"/>
      <c r="D835" s="2"/>
      <c r="E835" s="2"/>
      <c r="F835" s="2"/>
      <c r="G835" s="2"/>
      <c r="H835" s="2"/>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row>
    <row r="836" spans="1:77" x14ac:dyDescent="0.2">
      <c r="A836" s="2"/>
      <c r="B836" s="2"/>
      <c r="C836" s="2"/>
      <c r="D836" s="2"/>
      <c r="E836" s="2"/>
      <c r="F836" s="2"/>
      <c r="G836" s="2"/>
      <c r="H836" s="2"/>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row>
    <row r="837" spans="1:77" x14ac:dyDescent="0.2">
      <c r="A837" s="2"/>
      <c r="B837" s="2"/>
      <c r="C837" s="2"/>
      <c r="D837" s="2"/>
      <c r="E837" s="2"/>
      <c r="F837" s="2"/>
      <c r="G837" s="2"/>
      <c r="H837" s="2"/>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row>
    <row r="838" spans="1:77" x14ac:dyDescent="0.2">
      <c r="A838" s="2"/>
      <c r="B838" s="2"/>
      <c r="C838" s="2"/>
      <c r="D838" s="2"/>
      <c r="E838" s="2"/>
      <c r="F838" s="2"/>
      <c r="G838" s="2"/>
      <c r="H838" s="2"/>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row>
    <row r="839" spans="1:77" x14ac:dyDescent="0.2">
      <c r="A839" s="2"/>
      <c r="B839" s="2"/>
      <c r="C839" s="2"/>
      <c r="D839" s="2"/>
      <c r="E839" s="2"/>
      <c r="F839" s="2"/>
      <c r="G839" s="2"/>
      <c r="H839" s="2"/>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row>
    <row r="840" spans="1:77" x14ac:dyDescent="0.2">
      <c r="A840" s="2"/>
      <c r="B840" s="2"/>
      <c r="C840" s="2"/>
      <c r="D840" s="2"/>
      <c r="E840" s="2"/>
      <c r="F840" s="2"/>
      <c r="G840" s="2"/>
      <c r="H840" s="2"/>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row>
    <row r="841" spans="1:77" x14ac:dyDescent="0.2">
      <c r="A841" s="2"/>
      <c r="B841" s="2"/>
      <c r="C841" s="2"/>
      <c r="D841" s="2"/>
      <c r="E841" s="2"/>
      <c r="F841" s="2"/>
      <c r="G841" s="2"/>
      <c r="H841" s="2"/>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row>
    <row r="842" spans="1:77" x14ac:dyDescent="0.2">
      <c r="A842" s="2"/>
      <c r="B842" s="2"/>
      <c r="C842" s="2"/>
      <c r="D842" s="2"/>
      <c r="E842" s="2"/>
      <c r="F842" s="2"/>
      <c r="G842" s="2"/>
      <c r="H842" s="2"/>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row>
    <row r="843" spans="1:77" x14ac:dyDescent="0.2">
      <c r="A843" s="2"/>
      <c r="B843" s="2"/>
      <c r="C843" s="2"/>
      <c r="D843" s="2"/>
      <c r="E843" s="2"/>
      <c r="F843" s="2"/>
      <c r="G843" s="2"/>
      <c r="H843" s="2"/>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row>
    <row r="844" spans="1:77" x14ac:dyDescent="0.2">
      <c r="A844" s="2"/>
      <c r="B844" s="2"/>
      <c r="C844" s="2"/>
      <c r="D844" s="2"/>
      <c r="E844" s="2"/>
      <c r="F844" s="2"/>
      <c r="G844" s="2"/>
      <c r="H844" s="2"/>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row>
    <row r="845" spans="1:77" x14ac:dyDescent="0.2">
      <c r="A845" s="2"/>
      <c r="B845" s="2"/>
      <c r="C845" s="2"/>
      <c r="D845" s="2"/>
      <c r="E845" s="2"/>
      <c r="F845" s="2"/>
      <c r="G845" s="2"/>
      <c r="H845" s="2"/>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row>
    <row r="846" spans="1:77" x14ac:dyDescent="0.2">
      <c r="A846" s="2"/>
      <c r="B846" s="2"/>
      <c r="C846" s="2"/>
      <c r="D846" s="2"/>
      <c r="E846" s="2"/>
      <c r="F846" s="2"/>
      <c r="G846" s="2"/>
      <c r="H846" s="2"/>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row>
    <row r="847" spans="1:77" x14ac:dyDescent="0.2">
      <c r="A847" s="2"/>
      <c r="B847" s="2"/>
      <c r="C847" s="2"/>
      <c r="D847" s="2"/>
      <c r="E847" s="2"/>
      <c r="F847" s="2"/>
      <c r="G847" s="2"/>
      <c r="H847" s="2"/>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row>
    <row r="848" spans="1:77" x14ac:dyDescent="0.2">
      <c r="A848" s="2"/>
      <c r="B848" s="2"/>
      <c r="C848" s="2"/>
      <c r="D848" s="2"/>
      <c r="E848" s="2"/>
      <c r="F848" s="2"/>
      <c r="G848" s="2"/>
      <c r="H848" s="2"/>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row>
    <row r="849" spans="1:77" x14ac:dyDescent="0.2">
      <c r="A849" s="2"/>
      <c r="B849" s="2"/>
      <c r="C849" s="2"/>
      <c r="D849" s="2"/>
      <c r="E849" s="2"/>
      <c r="F849" s="2"/>
      <c r="G849" s="2"/>
      <c r="H849" s="2"/>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row>
    <row r="850" spans="1:77" x14ac:dyDescent="0.2">
      <c r="A850" s="2"/>
      <c r="B850" s="2"/>
      <c r="C850" s="2"/>
      <c r="D850" s="2"/>
      <c r="E850" s="2"/>
      <c r="F850" s="2"/>
      <c r="G850" s="2"/>
      <c r="H850" s="2"/>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row>
    <row r="851" spans="1:77" x14ac:dyDescent="0.2">
      <c r="A851" s="2"/>
      <c r="B851" s="2"/>
      <c r="C851" s="2"/>
      <c r="D851" s="2"/>
      <c r="E851" s="2"/>
      <c r="F851" s="2"/>
      <c r="G851" s="2"/>
      <c r="H851" s="2"/>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row>
    <row r="852" spans="1:77" x14ac:dyDescent="0.2">
      <c r="A852" s="2"/>
      <c r="B852" s="2"/>
      <c r="C852" s="2"/>
      <c r="D852" s="2"/>
      <c r="E852" s="2"/>
      <c r="F852" s="2"/>
      <c r="G852" s="2"/>
      <c r="H852" s="2"/>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row>
    <row r="853" spans="1:77" x14ac:dyDescent="0.2">
      <c r="A853" s="2"/>
      <c r="B853" s="2"/>
      <c r="C853" s="2"/>
      <c r="D853" s="2"/>
      <c r="E853" s="2"/>
      <c r="F853" s="2"/>
      <c r="G853" s="2"/>
      <c r="H853" s="2"/>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row>
    <row r="854" spans="1:77" x14ac:dyDescent="0.2">
      <c r="A854" s="2"/>
      <c r="B854" s="2"/>
      <c r="C854" s="2"/>
      <c r="D854" s="2"/>
      <c r="E854" s="2"/>
      <c r="F854" s="2"/>
      <c r="G854" s="2"/>
      <c r="H854" s="2"/>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row>
    <row r="855" spans="1:77" x14ac:dyDescent="0.2">
      <c r="A855" s="2"/>
      <c r="B855" s="2"/>
      <c r="C855" s="2"/>
      <c r="D855" s="2"/>
      <c r="E855" s="2"/>
      <c r="F855" s="2"/>
      <c r="G855" s="2"/>
      <c r="H855" s="2"/>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row>
    <row r="856" spans="1:77" x14ac:dyDescent="0.2">
      <c r="A856" s="2"/>
      <c r="B856" s="2"/>
      <c r="C856" s="2"/>
      <c r="D856" s="2"/>
      <c r="E856" s="2"/>
      <c r="F856" s="2"/>
      <c r="G856" s="2"/>
      <c r="H856" s="2"/>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row>
    <row r="857" spans="1:77" x14ac:dyDescent="0.2">
      <c r="A857" s="2"/>
      <c r="B857" s="2"/>
      <c r="C857" s="2"/>
      <c r="D857" s="2"/>
      <c r="E857" s="2"/>
      <c r="F857" s="2"/>
      <c r="G857" s="2"/>
      <c r="H857" s="2"/>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row>
    <row r="858" spans="1:77" x14ac:dyDescent="0.2">
      <c r="A858" s="2"/>
      <c r="B858" s="2"/>
      <c r="C858" s="2"/>
      <c r="D858" s="2"/>
      <c r="E858" s="2"/>
      <c r="F858" s="2"/>
      <c r="G858" s="2"/>
      <c r="H858" s="2"/>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row>
    <row r="859" spans="1:77" x14ac:dyDescent="0.2">
      <c r="A859" s="2"/>
      <c r="B859" s="2"/>
      <c r="C859" s="2"/>
      <c r="D859" s="2"/>
      <c r="E859" s="2"/>
      <c r="F859" s="2"/>
      <c r="G859" s="2"/>
      <c r="H859" s="2"/>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row>
    <row r="860" spans="1:77" x14ac:dyDescent="0.2">
      <c r="A860" s="2"/>
      <c r="B860" s="2"/>
      <c r="C860" s="2"/>
      <c r="D860" s="2"/>
      <c r="E860" s="2"/>
      <c r="F860" s="2"/>
      <c r="G860" s="2"/>
      <c r="H860" s="2"/>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row>
    <row r="861" spans="1:77" x14ac:dyDescent="0.2">
      <c r="A861" s="2"/>
      <c r="B861" s="2"/>
      <c r="C861" s="2"/>
      <c r="D861" s="2"/>
      <c r="E861" s="2"/>
      <c r="F861" s="2"/>
      <c r="G861" s="2"/>
      <c r="H861" s="2"/>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row>
    <row r="862" spans="1:77" x14ac:dyDescent="0.2">
      <c r="A862" s="2"/>
      <c r="B862" s="2"/>
      <c r="C862" s="2"/>
      <c r="D862" s="2"/>
      <c r="E862" s="2"/>
      <c r="F862" s="2"/>
      <c r="G862" s="2"/>
      <c r="H862" s="2"/>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row>
    <row r="863" spans="1:77" x14ac:dyDescent="0.2">
      <c r="A863" s="2"/>
      <c r="B863" s="2"/>
      <c r="C863" s="2"/>
      <c r="D863" s="2"/>
      <c r="E863" s="2"/>
      <c r="F863" s="2"/>
      <c r="G863" s="2"/>
      <c r="H863" s="2"/>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row>
    <row r="864" spans="1:77" x14ac:dyDescent="0.2">
      <c r="A864" s="2"/>
      <c r="B864" s="2"/>
      <c r="C864" s="2"/>
      <c r="D864" s="2"/>
      <c r="E864" s="2"/>
      <c r="F864" s="2"/>
      <c r="G864" s="2"/>
      <c r="H864" s="2"/>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row>
    <row r="865" spans="1:77" x14ac:dyDescent="0.2">
      <c r="A865" s="2"/>
      <c r="B865" s="2"/>
      <c r="C865" s="2"/>
      <c r="D865" s="2"/>
      <c r="E865" s="2"/>
      <c r="F865" s="2"/>
      <c r="G865" s="2"/>
      <c r="H865" s="2"/>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row>
    <row r="866" spans="1:77" x14ac:dyDescent="0.2">
      <c r="A866" s="2"/>
      <c r="B866" s="2"/>
      <c r="C866" s="2"/>
      <c r="D866" s="2"/>
      <c r="E866" s="2"/>
      <c r="F866" s="2"/>
      <c r="G866" s="2"/>
      <c r="H866" s="2"/>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row>
    <row r="867" spans="1:77" x14ac:dyDescent="0.2">
      <c r="A867" s="2"/>
      <c r="B867" s="2"/>
      <c r="C867" s="2"/>
      <c r="D867" s="2"/>
      <c r="E867" s="2"/>
      <c r="F867" s="2"/>
      <c r="G867" s="2"/>
      <c r="H867" s="2"/>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row>
    <row r="868" spans="1:77" x14ac:dyDescent="0.2">
      <c r="A868" s="2"/>
      <c r="B868" s="2"/>
      <c r="C868" s="2"/>
      <c r="D868" s="2"/>
      <c r="E868" s="2"/>
      <c r="F868" s="2"/>
      <c r="G868" s="2"/>
      <c r="H868" s="2"/>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row>
    <row r="869" spans="1:77" x14ac:dyDescent="0.2">
      <c r="A869" s="2"/>
      <c r="B869" s="2"/>
      <c r="C869" s="2"/>
      <c r="D869" s="2"/>
      <c r="E869" s="2"/>
      <c r="F869" s="2"/>
      <c r="G869" s="2"/>
      <c r="H869" s="2"/>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row>
    <row r="870" spans="1:77" x14ac:dyDescent="0.2">
      <c r="A870" s="2"/>
      <c r="B870" s="2"/>
      <c r="C870" s="2"/>
      <c r="D870" s="2"/>
      <c r="E870" s="2"/>
      <c r="F870" s="2"/>
      <c r="G870" s="2"/>
      <c r="H870" s="2"/>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row>
    <row r="871" spans="1:77" x14ac:dyDescent="0.2">
      <c r="A871" s="2"/>
      <c r="B871" s="2"/>
      <c r="C871" s="2"/>
      <c r="D871" s="2"/>
      <c r="E871" s="2"/>
      <c r="F871" s="2"/>
      <c r="G871" s="2"/>
      <c r="H871" s="2"/>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row>
    <row r="872" spans="1:77" x14ac:dyDescent="0.2">
      <c r="A872" s="2"/>
      <c r="B872" s="2"/>
      <c r="C872" s="2"/>
      <c r="D872" s="2"/>
      <c r="E872" s="2"/>
      <c r="F872" s="2"/>
      <c r="G872" s="2"/>
      <c r="H872" s="2"/>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row>
    <row r="873" spans="1:77" x14ac:dyDescent="0.2">
      <c r="A873" s="2"/>
      <c r="B873" s="2"/>
      <c r="C873" s="2"/>
      <c r="D873" s="2"/>
      <c r="E873" s="2"/>
      <c r="F873" s="2"/>
      <c r="G873" s="2"/>
      <c r="H873" s="2"/>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row>
    <row r="874" spans="1:77" x14ac:dyDescent="0.2">
      <c r="A874" s="2"/>
      <c r="B874" s="2"/>
      <c r="C874" s="2"/>
      <c r="D874" s="2"/>
      <c r="E874" s="2"/>
      <c r="F874" s="2"/>
      <c r="G874" s="2"/>
      <c r="H874" s="2"/>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row>
    <row r="875" spans="1:77" x14ac:dyDescent="0.2">
      <c r="A875" s="2"/>
      <c r="B875" s="2"/>
      <c r="C875" s="2"/>
      <c r="D875" s="2"/>
      <c r="E875" s="2"/>
      <c r="F875" s="2"/>
      <c r="G875" s="2"/>
      <c r="H875" s="2"/>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row>
    <row r="876" spans="1:77" x14ac:dyDescent="0.2">
      <c r="A876" s="2"/>
      <c r="B876" s="2"/>
      <c r="C876" s="2"/>
      <c r="D876" s="2"/>
      <c r="E876" s="2"/>
      <c r="F876" s="2"/>
      <c r="G876" s="2"/>
      <c r="H876" s="2"/>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row>
    <row r="877" spans="1:77" x14ac:dyDescent="0.2">
      <c r="A877" s="2"/>
      <c r="B877" s="2"/>
      <c r="C877" s="2"/>
      <c r="D877" s="2"/>
      <c r="E877" s="2"/>
      <c r="F877" s="2"/>
      <c r="G877" s="2"/>
      <c r="H877" s="2"/>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row>
    <row r="878" spans="1:77" x14ac:dyDescent="0.2">
      <c r="A878" s="2"/>
      <c r="B878" s="2"/>
      <c r="C878" s="2"/>
      <c r="D878" s="2"/>
      <c r="E878" s="2"/>
      <c r="F878" s="2"/>
      <c r="G878" s="2"/>
      <c r="H878" s="2"/>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row>
    <row r="879" spans="1:77" x14ac:dyDescent="0.2">
      <c r="A879" s="2"/>
      <c r="B879" s="2"/>
      <c r="C879" s="2"/>
      <c r="D879" s="2"/>
      <c r="E879" s="2"/>
      <c r="F879" s="2"/>
      <c r="G879" s="2"/>
      <c r="H879" s="2"/>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row>
    <row r="880" spans="1:77" x14ac:dyDescent="0.2">
      <c r="A880" s="2"/>
      <c r="B880" s="2"/>
      <c r="C880" s="2"/>
      <c r="D880" s="2"/>
      <c r="E880" s="2"/>
      <c r="F880" s="2"/>
      <c r="G880" s="2"/>
      <c r="H880" s="2"/>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row>
    <row r="881" spans="1:77" x14ac:dyDescent="0.2">
      <c r="A881" s="2"/>
      <c r="B881" s="2"/>
      <c r="C881" s="2"/>
      <c r="D881" s="2"/>
      <c r="E881" s="2"/>
      <c r="F881" s="2"/>
      <c r="G881" s="2"/>
      <c r="H881" s="2"/>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row>
    <row r="882" spans="1:77" x14ac:dyDescent="0.2">
      <c r="A882" s="2"/>
      <c r="B882" s="2"/>
      <c r="C882" s="2"/>
      <c r="D882" s="2"/>
      <c r="E882" s="2"/>
      <c r="F882" s="2"/>
      <c r="G882" s="2"/>
      <c r="H882" s="2"/>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row>
    <row r="883" spans="1:77" x14ac:dyDescent="0.2">
      <c r="A883" s="2"/>
      <c r="B883" s="2"/>
      <c r="C883" s="2"/>
      <c r="D883" s="2"/>
      <c r="E883" s="2"/>
      <c r="F883" s="2"/>
      <c r="G883" s="2"/>
      <c r="H883" s="2"/>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row>
    <row r="884" spans="1:77" x14ac:dyDescent="0.2">
      <c r="A884" s="2"/>
      <c r="B884" s="2"/>
      <c r="C884" s="2"/>
      <c r="D884" s="2"/>
      <c r="E884" s="2"/>
      <c r="F884" s="2"/>
      <c r="G884" s="2"/>
      <c r="H884" s="2"/>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row>
    <row r="885" spans="1:77" x14ac:dyDescent="0.2">
      <c r="A885" s="2"/>
      <c r="B885" s="2"/>
      <c r="C885" s="2"/>
      <c r="D885" s="2"/>
      <c r="E885" s="2"/>
      <c r="F885" s="2"/>
      <c r="G885" s="2"/>
      <c r="H885" s="2"/>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row>
    <row r="886" spans="1:77" x14ac:dyDescent="0.2">
      <c r="A886" s="2"/>
      <c r="B886" s="2"/>
      <c r="C886" s="2"/>
      <c r="D886" s="2"/>
      <c r="E886" s="2"/>
      <c r="F886" s="2"/>
      <c r="G886" s="2"/>
      <c r="H886" s="2"/>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row>
    <row r="887" spans="1:77" x14ac:dyDescent="0.2">
      <c r="A887" s="2"/>
      <c r="B887" s="2"/>
      <c r="C887" s="2"/>
      <c r="D887" s="2"/>
      <c r="E887" s="2"/>
      <c r="F887" s="2"/>
      <c r="G887" s="2"/>
      <c r="H887" s="2"/>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row>
    <row r="888" spans="1:77" x14ac:dyDescent="0.2">
      <c r="A888" s="2"/>
      <c r="B888" s="2"/>
      <c r="C888" s="2"/>
      <c r="D888" s="2"/>
      <c r="E888" s="2"/>
      <c r="F888" s="2"/>
      <c r="G888" s="2"/>
      <c r="H888" s="2"/>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row>
    <row r="889" spans="1:77" x14ac:dyDescent="0.2">
      <c r="A889" s="2"/>
      <c r="B889" s="2"/>
      <c r="C889" s="2"/>
      <c r="D889" s="2"/>
      <c r="E889" s="2"/>
      <c r="F889" s="2"/>
      <c r="G889" s="2"/>
      <c r="H889" s="2"/>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row>
    <row r="890" spans="1:77" x14ac:dyDescent="0.2">
      <c r="A890" s="2"/>
      <c r="B890" s="2"/>
      <c r="C890" s="2"/>
      <c r="D890" s="2"/>
      <c r="E890" s="2"/>
      <c r="F890" s="2"/>
      <c r="G890" s="2"/>
      <c r="H890" s="2"/>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row>
    <row r="891" spans="1:77" x14ac:dyDescent="0.2">
      <c r="A891" s="2"/>
      <c r="B891" s="2"/>
      <c r="C891" s="2"/>
      <c r="D891" s="2"/>
      <c r="E891" s="2"/>
      <c r="F891" s="2"/>
      <c r="G891" s="2"/>
      <c r="H891" s="2"/>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row>
    <row r="892" spans="1:77" x14ac:dyDescent="0.2">
      <c r="A892" s="2"/>
      <c r="B892" s="2"/>
      <c r="C892" s="2"/>
      <c r="D892" s="2"/>
      <c r="E892" s="2"/>
      <c r="F892" s="2"/>
      <c r="G892" s="2"/>
      <c r="H892" s="2"/>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row>
    <row r="893" spans="1:77" x14ac:dyDescent="0.2">
      <c r="A893" s="2"/>
      <c r="B893" s="2"/>
      <c r="C893" s="2"/>
      <c r="D893" s="2"/>
      <c r="E893" s="2"/>
      <c r="F893" s="2"/>
      <c r="G893" s="2"/>
      <c r="H893" s="2"/>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row>
    <row r="894" spans="1:77" x14ac:dyDescent="0.2">
      <c r="A894" s="2"/>
      <c r="B894" s="2"/>
      <c r="C894" s="2"/>
      <c r="D894" s="2"/>
      <c r="E894" s="2"/>
      <c r="F894" s="2"/>
      <c r="G894" s="2"/>
      <c r="H894" s="2"/>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row>
    <row r="895" spans="1:77" x14ac:dyDescent="0.2">
      <c r="A895" s="2"/>
      <c r="B895" s="2"/>
      <c r="C895" s="2"/>
      <c r="D895" s="2"/>
      <c r="E895" s="2"/>
      <c r="F895" s="2"/>
      <c r="G895" s="2"/>
      <c r="H895" s="2"/>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row>
    <row r="896" spans="1:77" x14ac:dyDescent="0.2">
      <c r="A896" s="2"/>
      <c r="B896" s="2"/>
      <c r="C896" s="2"/>
      <c r="D896" s="2"/>
      <c r="E896" s="2"/>
      <c r="F896" s="2"/>
      <c r="G896" s="2"/>
      <c r="H896" s="2"/>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row>
    <row r="897" spans="1:77" x14ac:dyDescent="0.2">
      <c r="A897" s="2"/>
      <c r="B897" s="2"/>
      <c r="C897" s="2"/>
      <c r="D897" s="2"/>
      <c r="E897" s="2"/>
      <c r="F897" s="2"/>
      <c r="G897" s="2"/>
      <c r="H897" s="2"/>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row>
    <row r="898" spans="1:77" x14ac:dyDescent="0.2">
      <c r="A898" s="2"/>
      <c r="B898" s="2"/>
      <c r="C898" s="2"/>
      <c r="D898" s="2"/>
      <c r="E898" s="2"/>
      <c r="F898" s="2"/>
      <c r="G898" s="2"/>
      <c r="H898" s="2"/>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row>
    <row r="899" spans="1:77" x14ac:dyDescent="0.2">
      <c r="A899" s="2"/>
      <c r="B899" s="2"/>
      <c r="C899" s="2"/>
      <c r="D899" s="2"/>
      <c r="E899" s="2"/>
      <c r="F899" s="2"/>
      <c r="G899" s="2"/>
      <c r="H899" s="2"/>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row>
    <row r="900" spans="1:77" x14ac:dyDescent="0.2">
      <c r="A900" s="2"/>
      <c r="B900" s="2"/>
      <c r="C900" s="2"/>
      <c r="D900" s="2"/>
      <c r="E900" s="2"/>
      <c r="F900" s="2"/>
      <c r="G900" s="2"/>
      <c r="H900" s="2"/>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row>
    <row r="901" spans="1:77" x14ac:dyDescent="0.2">
      <c r="A901" s="2"/>
      <c r="B901" s="2"/>
      <c r="C901" s="2"/>
      <c r="D901" s="2"/>
      <c r="E901" s="2"/>
      <c r="F901" s="2"/>
      <c r="G901" s="2"/>
      <c r="H901" s="2"/>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row>
    <row r="902" spans="1:77" x14ac:dyDescent="0.2">
      <c r="A902" s="2"/>
      <c r="B902" s="2"/>
      <c r="C902" s="2"/>
      <c r="D902" s="2"/>
      <c r="E902" s="2"/>
      <c r="F902" s="2"/>
      <c r="G902" s="2"/>
      <c r="H902" s="2"/>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row>
    <row r="903" spans="1:77" x14ac:dyDescent="0.2">
      <c r="A903" s="2"/>
      <c r="B903" s="2"/>
      <c r="C903" s="2"/>
      <c r="D903" s="2"/>
      <c r="E903" s="2"/>
      <c r="F903" s="2"/>
      <c r="G903" s="2"/>
      <c r="H903" s="2"/>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row>
    <row r="904" spans="1:77" x14ac:dyDescent="0.2">
      <c r="A904" s="2"/>
      <c r="B904" s="2"/>
      <c r="C904" s="2"/>
      <c r="D904" s="2"/>
      <c r="E904" s="2"/>
      <c r="F904" s="2"/>
      <c r="G904" s="2"/>
      <c r="H904" s="2"/>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row>
    <row r="905" spans="1:77" x14ac:dyDescent="0.2">
      <c r="A905" s="2"/>
      <c r="B905" s="2"/>
      <c r="C905" s="2"/>
      <c r="D905" s="2"/>
      <c r="E905" s="2"/>
      <c r="F905" s="2"/>
      <c r="G905" s="2"/>
      <c r="H905" s="2"/>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row>
    <row r="906" spans="1:77" x14ac:dyDescent="0.2">
      <c r="A906" s="2"/>
      <c r="B906" s="2"/>
      <c r="C906" s="2"/>
      <c r="D906" s="2"/>
      <c r="E906" s="2"/>
      <c r="F906" s="2"/>
      <c r="G906" s="2"/>
      <c r="H906" s="2"/>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row>
    <row r="907" spans="1:77" x14ac:dyDescent="0.2">
      <c r="A907" s="2"/>
      <c r="B907" s="2"/>
      <c r="C907" s="2"/>
      <c r="D907" s="2"/>
      <c r="E907" s="2"/>
      <c r="F907" s="2"/>
      <c r="G907" s="2"/>
      <c r="H907" s="2"/>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row>
    <row r="908" spans="1:77" x14ac:dyDescent="0.2">
      <c r="A908" s="2"/>
      <c r="B908" s="2"/>
      <c r="C908" s="2"/>
      <c r="D908" s="2"/>
      <c r="E908" s="2"/>
      <c r="F908" s="2"/>
      <c r="G908" s="2"/>
      <c r="H908" s="2"/>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row>
    <row r="909" spans="1:77" x14ac:dyDescent="0.2">
      <c r="A909" s="2"/>
      <c r="B909" s="2"/>
      <c r="C909" s="2"/>
      <c r="D909" s="2"/>
      <c r="E909" s="2"/>
      <c r="F909" s="2"/>
      <c r="G909" s="2"/>
      <c r="H909" s="2"/>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row>
    <row r="910" spans="1:77" x14ac:dyDescent="0.2">
      <c r="A910" s="2"/>
      <c r="B910" s="2"/>
      <c r="C910" s="2"/>
      <c r="D910" s="2"/>
      <c r="E910" s="2"/>
      <c r="F910" s="2"/>
      <c r="G910" s="2"/>
      <c r="H910" s="2"/>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row>
    <row r="911" spans="1:77" x14ac:dyDescent="0.2">
      <c r="A911" s="2"/>
      <c r="B911" s="2"/>
      <c r="C911" s="2"/>
      <c r="D911" s="2"/>
      <c r="E911" s="2"/>
      <c r="F911" s="2"/>
      <c r="G911" s="2"/>
      <c r="H911" s="2"/>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row>
    <row r="912" spans="1:77" x14ac:dyDescent="0.2">
      <c r="A912" s="2"/>
      <c r="B912" s="2"/>
      <c r="C912" s="2"/>
      <c r="D912" s="2"/>
      <c r="E912" s="2"/>
      <c r="F912" s="2"/>
      <c r="G912" s="2"/>
      <c r="H912" s="2"/>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row>
    <row r="913" spans="1:77" x14ac:dyDescent="0.2">
      <c r="A913" s="2"/>
      <c r="B913" s="2"/>
      <c r="C913" s="2"/>
      <c r="D913" s="2"/>
      <c r="E913" s="2"/>
      <c r="F913" s="2"/>
      <c r="G913" s="2"/>
      <c r="H913" s="2"/>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row>
    <row r="914" spans="1:77" x14ac:dyDescent="0.2">
      <c r="A914" s="2"/>
      <c r="B914" s="2"/>
      <c r="C914" s="2"/>
      <c r="D914" s="2"/>
      <c r="E914" s="2"/>
      <c r="F914" s="2"/>
      <c r="G914" s="2"/>
      <c r="H914" s="2"/>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row>
    <row r="915" spans="1:77" x14ac:dyDescent="0.2">
      <c r="A915" s="2"/>
      <c r="B915" s="2"/>
      <c r="C915" s="2"/>
      <c r="D915" s="2"/>
      <c r="E915" s="2"/>
      <c r="F915" s="2"/>
      <c r="G915" s="2"/>
      <c r="H915" s="2"/>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row>
    <row r="916" spans="1:77" x14ac:dyDescent="0.2">
      <c r="A916" s="2"/>
      <c r="B916" s="2"/>
      <c r="C916" s="2"/>
      <c r="D916" s="2"/>
      <c r="E916" s="2"/>
      <c r="F916" s="2"/>
      <c r="G916" s="2"/>
      <c r="H916" s="2"/>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row>
    <row r="917" spans="1:77" x14ac:dyDescent="0.2">
      <c r="A917" s="2"/>
      <c r="B917" s="2"/>
      <c r="C917" s="2"/>
      <c r="D917" s="2"/>
      <c r="E917" s="2"/>
      <c r="F917" s="2"/>
      <c r="G917" s="2"/>
      <c r="H917" s="2"/>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row>
    <row r="918" spans="1:77" x14ac:dyDescent="0.2">
      <c r="A918" s="2"/>
      <c r="B918" s="2"/>
      <c r="C918" s="2"/>
      <c r="D918" s="2"/>
      <c r="E918" s="2"/>
      <c r="F918" s="2"/>
      <c r="G918" s="2"/>
      <c r="H918" s="2"/>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row>
    <row r="919" spans="1:77" x14ac:dyDescent="0.2">
      <c r="A919" s="2"/>
      <c r="B919" s="2"/>
      <c r="C919" s="2"/>
      <c r="D919" s="2"/>
      <c r="E919" s="2"/>
      <c r="F919" s="2"/>
      <c r="G919" s="2"/>
      <c r="H919" s="2"/>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row>
    <row r="920" spans="1:77" x14ac:dyDescent="0.2">
      <c r="A920" s="2"/>
      <c r="B920" s="2"/>
      <c r="C920" s="2"/>
      <c r="D920" s="2"/>
      <c r="E920" s="2"/>
      <c r="F920" s="2"/>
      <c r="G920" s="2"/>
      <c r="H920" s="2"/>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row>
    <row r="921" spans="1:77" x14ac:dyDescent="0.2">
      <c r="A921" s="2"/>
      <c r="B921" s="2"/>
      <c r="C921" s="2"/>
      <c r="D921" s="2"/>
      <c r="E921" s="2"/>
      <c r="F921" s="2"/>
      <c r="G921" s="2"/>
      <c r="H921" s="2"/>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row>
    <row r="922" spans="1:77" x14ac:dyDescent="0.2">
      <c r="A922" s="2"/>
      <c r="B922" s="2"/>
      <c r="C922" s="2"/>
      <c r="D922" s="2"/>
      <c r="E922" s="2"/>
      <c r="F922" s="2"/>
      <c r="G922" s="2"/>
      <c r="H922" s="2"/>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row>
    <row r="923" spans="1:77" x14ac:dyDescent="0.2">
      <c r="A923" s="2"/>
      <c r="B923" s="2"/>
      <c r="C923" s="2"/>
      <c r="D923" s="2"/>
      <c r="E923" s="2"/>
      <c r="F923" s="2"/>
      <c r="G923" s="2"/>
      <c r="H923" s="2"/>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row>
    <row r="924" spans="1:77" x14ac:dyDescent="0.2">
      <c r="A924" s="2"/>
      <c r="B924" s="2"/>
      <c r="C924" s="2"/>
      <c r="D924" s="2"/>
      <c r="E924" s="2"/>
      <c r="F924" s="2"/>
      <c r="G924" s="2"/>
      <c r="H924" s="2"/>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row>
    <row r="925" spans="1:77" x14ac:dyDescent="0.2">
      <c r="A925" s="2"/>
      <c r="B925" s="2"/>
      <c r="C925" s="2"/>
      <c r="D925" s="2"/>
      <c r="E925" s="2"/>
      <c r="F925" s="2"/>
      <c r="G925" s="2"/>
      <c r="H925" s="2"/>
    </row>
    <row r="926" spans="1:77" x14ac:dyDescent="0.2">
      <c r="A926" s="2"/>
      <c r="B926" s="2"/>
      <c r="C926" s="2"/>
      <c r="D926" s="2"/>
      <c r="E926" s="2"/>
      <c r="F926" s="2"/>
      <c r="G926" s="2"/>
      <c r="H926" s="2"/>
    </row>
    <row r="927" spans="1:77" x14ac:dyDescent="0.2">
      <c r="A927" s="2"/>
      <c r="B927" s="2"/>
      <c r="C927" s="2"/>
      <c r="D927" s="2"/>
      <c r="E927" s="2"/>
      <c r="F927" s="2"/>
      <c r="G927" s="2"/>
      <c r="H927" s="2"/>
    </row>
    <row r="928" spans="1:77" x14ac:dyDescent="0.2">
      <c r="A928" s="2"/>
      <c r="B928" s="2"/>
      <c r="C928" s="2"/>
      <c r="D928" s="2"/>
      <c r="E928" s="2"/>
      <c r="F928" s="2"/>
      <c r="G928" s="2"/>
      <c r="H928" s="2"/>
    </row>
    <row r="929" s="2" customFormat="1" x14ac:dyDescent="0.2"/>
    <row r="930" s="2" customFormat="1" x14ac:dyDescent="0.2"/>
    <row r="931" s="2" customFormat="1" x14ac:dyDescent="0.2"/>
    <row r="932" s="2" customFormat="1" x14ac:dyDescent="0.2"/>
    <row r="933" s="2" customFormat="1" x14ac:dyDescent="0.2"/>
    <row r="934" s="2" customFormat="1" x14ac:dyDescent="0.2"/>
    <row r="935" s="2" customFormat="1" x14ac:dyDescent="0.2"/>
    <row r="936" s="2" customFormat="1" x14ac:dyDescent="0.2"/>
    <row r="937" s="2" customFormat="1" x14ac:dyDescent="0.2"/>
    <row r="938" s="2" customFormat="1" x14ac:dyDescent="0.2"/>
    <row r="939" s="2" customFormat="1" x14ac:dyDescent="0.2"/>
    <row r="940" s="2" customFormat="1" x14ac:dyDescent="0.2"/>
    <row r="941" s="2" customFormat="1" x14ac:dyDescent="0.2"/>
    <row r="942" s="2" customFormat="1" x14ac:dyDescent="0.2"/>
    <row r="943" s="2" customFormat="1" x14ac:dyDescent="0.2"/>
    <row r="944" s="2" customFormat="1" x14ac:dyDescent="0.2"/>
    <row r="945" s="2" customFormat="1" x14ac:dyDescent="0.2"/>
    <row r="946" s="2" customFormat="1" x14ac:dyDescent="0.2"/>
    <row r="947" s="2" customFormat="1" x14ac:dyDescent="0.2"/>
    <row r="948" s="2" customFormat="1" x14ac:dyDescent="0.2"/>
    <row r="949" s="2" customFormat="1" x14ac:dyDescent="0.2"/>
    <row r="950" s="2" customFormat="1" x14ac:dyDescent="0.2"/>
    <row r="951" s="2" customFormat="1" x14ac:dyDescent="0.2"/>
    <row r="952" s="2" customFormat="1" x14ac:dyDescent="0.2"/>
    <row r="953" s="2" customFormat="1" x14ac:dyDescent="0.2"/>
    <row r="954" s="2" customFormat="1" x14ac:dyDescent="0.2"/>
    <row r="955" s="2" customFormat="1" x14ac:dyDescent="0.2"/>
    <row r="956" s="2" customFormat="1" x14ac:dyDescent="0.2"/>
    <row r="957" s="2" customFormat="1" x14ac:dyDescent="0.2"/>
    <row r="958" s="2" customFormat="1" x14ac:dyDescent="0.2"/>
    <row r="959" s="2" customFormat="1" x14ac:dyDescent="0.2"/>
    <row r="960" s="2" customFormat="1" x14ac:dyDescent="0.2"/>
    <row r="961" s="2" customFormat="1" x14ac:dyDescent="0.2"/>
    <row r="962" s="2" customFormat="1" x14ac:dyDescent="0.2"/>
    <row r="963" s="2" customFormat="1" x14ac:dyDescent="0.2"/>
    <row r="964" s="2" customFormat="1" x14ac:dyDescent="0.2"/>
    <row r="965" s="2" customFormat="1" x14ac:dyDescent="0.2"/>
    <row r="966" s="2" customFormat="1" x14ac:dyDescent="0.2"/>
    <row r="967" s="2" customFormat="1" x14ac:dyDescent="0.2"/>
    <row r="968" s="2" customFormat="1" x14ac:dyDescent="0.2"/>
    <row r="969" s="2" customFormat="1" x14ac:dyDescent="0.2"/>
    <row r="970" s="2" customFormat="1" x14ac:dyDescent="0.2"/>
    <row r="971" s="2" customFormat="1" x14ac:dyDescent="0.2"/>
    <row r="972" s="2" customFormat="1" x14ac:dyDescent="0.2"/>
    <row r="973" s="2" customFormat="1" x14ac:dyDescent="0.2"/>
    <row r="974" s="2" customFormat="1" x14ac:dyDescent="0.2"/>
    <row r="975" s="2" customFormat="1" x14ac:dyDescent="0.2"/>
    <row r="976" s="2" customFormat="1" x14ac:dyDescent="0.2"/>
    <row r="977" s="2" customFormat="1" x14ac:dyDescent="0.2"/>
    <row r="978" s="2" customFormat="1" x14ac:dyDescent="0.2"/>
    <row r="979" s="2" customFormat="1" x14ac:dyDescent="0.2"/>
    <row r="980" s="2" customFormat="1" x14ac:dyDescent="0.2"/>
    <row r="981" s="2" customFormat="1" x14ac:dyDescent="0.2"/>
    <row r="982" s="2" customFormat="1" x14ac:dyDescent="0.2"/>
    <row r="983" s="2" customFormat="1" x14ac:dyDescent="0.2"/>
    <row r="984" s="2" customFormat="1" x14ac:dyDescent="0.2"/>
    <row r="985" s="2" customFormat="1" x14ac:dyDescent="0.2"/>
    <row r="986" s="2" customFormat="1" x14ac:dyDescent="0.2"/>
    <row r="987" s="2" customFormat="1" x14ac:dyDescent="0.2"/>
    <row r="988" s="2" customFormat="1" x14ac:dyDescent="0.2"/>
    <row r="989" s="2" customFormat="1" x14ac:dyDescent="0.2"/>
    <row r="990" s="2" customFormat="1" x14ac:dyDescent="0.2"/>
    <row r="991" s="2" customFormat="1" x14ac:dyDescent="0.2"/>
    <row r="992" s="2" customFormat="1" x14ac:dyDescent="0.2"/>
    <row r="993" s="2" customFormat="1" x14ac:dyDescent="0.2"/>
    <row r="994" s="2" customFormat="1" x14ac:dyDescent="0.2"/>
    <row r="995" s="2" customFormat="1" x14ac:dyDescent="0.2"/>
    <row r="996" s="2" customFormat="1" x14ac:dyDescent="0.2"/>
    <row r="997" s="2" customFormat="1" x14ac:dyDescent="0.2"/>
    <row r="998" s="2" customFormat="1" x14ac:dyDescent="0.2"/>
    <row r="999" s="2" customFormat="1" x14ac:dyDescent="0.2"/>
    <row r="1000" s="2" customFormat="1" x14ac:dyDescent="0.2"/>
    <row r="1001" s="2" customFormat="1" x14ac:dyDescent="0.2"/>
    <row r="1002" s="2" customFormat="1" x14ac:dyDescent="0.2"/>
    <row r="1003" s="2" customFormat="1" x14ac:dyDescent="0.2"/>
    <row r="1004" s="2" customFormat="1" x14ac:dyDescent="0.2"/>
    <row r="1005" s="2" customFormat="1" x14ac:dyDescent="0.2"/>
    <row r="1006" s="2" customFormat="1" x14ac:dyDescent="0.2"/>
    <row r="1007" s="2" customFormat="1" x14ac:dyDescent="0.2"/>
    <row r="1008" s="2" customFormat="1" x14ac:dyDescent="0.2"/>
    <row r="1009" s="2" customFormat="1" x14ac:dyDescent="0.2"/>
    <row r="1010" s="2" customFormat="1" x14ac:dyDescent="0.2"/>
    <row r="1011" s="2" customFormat="1" x14ac:dyDescent="0.2"/>
    <row r="1012" s="2" customFormat="1" x14ac:dyDescent="0.2"/>
    <row r="1013" s="2" customFormat="1" x14ac:dyDescent="0.2"/>
    <row r="1014" s="2" customFormat="1" x14ac:dyDescent="0.2"/>
    <row r="1015" s="2" customFormat="1" x14ac:dyDescent="0.2"/>
    <row r="1016" s="2" customFormat="1" x14ac:dyDescent="0.2"/>
    <row r="1017" s="2" customFormat="1" x14ac:dyDescent="0.2"/>
    <row r="1018" s="2" customFormat="1" x14ac:dyDescent="0.2"/>
    <row r="1019" s="2" customFormat="1" x14ac:dyDescent="0.2"/>
    <row r="1020" s="2" customFormat="1" x14ac:dyDescent="0.2"/>
    <row r="1021" s="2" customFormat="1" x14ac:dyDescent="0.2"/>
    <row r="1022" s="2" customFormat="1" x14ac:dyDescent="0.2"/>
    <row r="1023" s="2" customFormat="1" x14ac:dyDescent="0.2"/>
    <row r="1024" s="2" customFormat="1" x14ac:dyDescent="0.2"/>
    <row r="1025" s="2" customFormat="1" x14ac:dyDescent="0.2"/>
    <row r="1026" s="2" customFormat="1" x14ac:dyDescent="0.2"/>
    <row r="1027" s="2" customFormat="1" x14ac:dyDescent="0.2"/>
    <row r="1028" s="2" customFormat="1" x14ac:dyDescent="0.2"/>
    <row r="1029" s="2" customFormat="1" x14ac:dyDescent="0.2"/>
    <row r="1030" s="2" customFormat="1" x14ac:dyDescent="0.2"/>
    <row r="1031" s="2" customFormat="1" x14ac:dyDescent="0.2"/>
    <row r="1032" s="2" customFormat="1" x14ac:dyDescent="0.2"/>
    <row r="1033" s="2" customFormat="1" x14ac:dyDescent="0.2"/>
    <row r="1034" s="2" customFormat="1" x14ac:dyDescent="0.2"/>
    <row r="1035" s="2" customFormat="1" x14ac:dyDescent="0.2"/>
    <row r="1036" s="2" customFormat="1" x14ac:dyDescent="0.2"/>
    <row r="1037" s="2" customFormat="1" x14ac:dyDescent="0.2"/>
    <row r="1038" s="2" customFormat="1" x14ac:dyDescent="0.2"/>
    <row r="1039" s="2" customFormat="1" x14ac:dyDescent="0.2"/>
    <row r="1040" s="2" customFormat="1" x14ac:dyDescent="0.2"/>
    <row r="1041" s="2" customFormat="1" x14ac:dyDescent="0.2"/>
    <row r="1042" s="2" customFormat="1" x14ac:dyDescent="0.2"/>
    <row r="1043" s="2" customFormat="1" x14ac:dyDescent="0.2"/>
    <row r="1044" s="2" customFormat="1" x14ac:dyDescent="0.2"/>
    <row r="1045" s="2" customFormat="1" x14ac:dyDescent="0.2"/>
    <row r="1046" s="2" customFormat="1" x14ac:dyDescent="0.2"/>
    <row r="1047" s="2" customFormat="1" x14ac:dyDescent="0.2"/>
    <row r="1048" s="2" customFormat="1" x14ac:dyDescent="0.2"/>
    <row r="1049" s="2" customFormat="1" x14ac:dyDescent="0.2"/>
    <row r="1050" s="2" customFormat="1" x14ac:dyDescent="0.2"/>
    <row r="1051" s="2" customFormat="1" x14ac:dyDescent="0.2"/>
    <row r="1052" s="2" customFormat="1" x14ac:dyDescent="0.2"/>
    <row r="1053" s="2" customFormat="1" x14ac:dyDescent="0.2"/>
    <row r="1054" s="2" customFormat="1" x14ac:dyDescent="0.2"/>
    <row r="1055" s="2" customFormat="1" x14ac:dyDescent="0.2"/>
    <row r="1056" s="2" customFormat="1" x14ac:dyDescent="0.2"/>
    <row r="1057" s="2" customFormat="1" x14ac:dyDescent="0.2"/>
    <row r="1058" s="2" customFormat="1" x14ac:dyDescent="0.2"/>
    <row r="1059" s="2" customFormat="1" x14ac:dyDescent="0.2"/>
    <row r="1060" s="2" customFormat="1" x14ac:dyDescent="0.2"/>
    <row r="1061" s="2" customFormat="1" x14ac:dyDescent="0.2"/>
    <row r="1062" s="2" customFormat="1" x14ac:dyDescent="0.2"/>
    <row r="1063" s="2" customFormat="1" x14ac:dyDescent="0.2"/>
    <row r="1064" s="2" customFormat="1" x14ac:dyDescent="0.2"/>
    <row r="1065" s="2" customFormat="1" x14ac:dyDescent="0.2"/>
    <row r="1066" s="2" customFormat="1" x14ac:dyDescent="0.2"/>
    <row r="1067" s="2" customFormat="1" x14ac:dyDescent="0.2"/>
    <row r="1068" s="2" customFormat="1" x14ac:dyDescent="0.2"/>
    <row r="1069" s="2" customFormat="1" x14ac:dyDescent="0.2"/>
    <row r="1070" s="2" customFormat="1" x14ac:dyDescent="0.2"/>
    <row r="1071" s="2" customFormat="1" x14ac:dyDescent="0.2"/>
    <row r="1072" s="2" customFormat="1" x14ac:dyDescent="0.2"/>
    <row r="1073" s="2" customFormat="1" x14ac:dyDescent="0.2"/>
    <row r="1074" s="2" customFormat="1" x14ac:dyDescent="0.2"/>
    <row r="1075" s="2" customFormat="1" x14ac:dyDescent="0.2"/>
    <row r="1076" s="2" customFormat="1" x14ac:dyDescent="0.2"/>
    <row r="1077" s="2" customFormat="1" x14ac:dyDescent="0.2"/>
    <row r="1078" s="2" customFormat="1" x14ac:dyDescent="0.2"/>
    <row r="1079" s="2" customFormat="1" x14ac:dyDescent="0.2"/>
    <row r="1080" s="2" customFormat="1" x14ac:dyDescent="0.2"/>
    <row r="1081" s="2" customFormat="1" x14ac:dyDescent="0.2"/>
    <row r="1082" s="2" customFormat="1" x14ac:dyDescent="0.2"/>
    <row r="1083" s="2" customFormat="1" x14ac:dyDescent="0.2"/>
    <row r="1084" s="2" customFormat="1" x14ac:dyDescent="0.2"/>
    <row r="1085" s="2" customFormat="1" x14ac:dyDescent="0.2"/>
    <row r="1086" s="2" customFormat="1" x14ac:dyDescent="0.2"/>
    <row r="1087" s="2" customFormat="1" x14ac:dyDescent="0.2"/>
    <row r="1088" s="2" customFormat="1" x14ac:dyDescent="0.2"/>
    <row r="1089" s="2" customFormat="1" x14ac:dyDescent="0.2"/>
    <row r="1090" s="2" customFormat="1" x14ac:dyDescent="0.2"/>
    <row r="1091" s="2" customFormat="1" x14ac:dyDescent="0.2"/>
    <row r="1092" s="2" customFormat="1" x14ac:dyDescent="0.2"/>
    <row r="1093" s="2" customFormat="1" x14ac:dyDescent="0.2"/>
    <row r="1094" s="2" customFormat="1" x14ac:dyDescent="0.2"/>
    <row r="1095" s="2" customFormat="1" x14ac:dyDescent="0.2"/>
    <row r="1096" s="2" customFormat="1" x14ac:dyDescent="0.2"/>
    <row r="1097" s="2" customFormat="1" x14ac:dyDescent="0.2"/>
    <row r="1098" s="2" customFormat="1" x14ac:dyDescent="0.2"/>
    <row r="1099" s="2" customFormat="1" x14ac:dyDescent="0.2"/>
    <row r="1100" s="2" customFormat="1" x14ac:dyDescent="0.2"/>
    <row r="1101" s="2" customFormat="1" x14ac:dyDescent="0.2"/>
    <row r="1102" s="2" customFormat="1" x14ac:dyDescent="0.2"/>
    <row r="1103" s="2" customFormat="1" x14ac:dyDescent="0.2"/>
    <row r="1104" s="2" customFormat="1" x14ac:dyDescent="0.2"/>
    <row r="1105" s="2" customFormat="1" x14ac:dyDescent="0.2"/>
    <row r="1106" s="2" customFormat="1" x14ac:dyDescent="0.2"/>
    <row r="1107" s="2" customFormat="1" x14ac:dyDescent="0.2"/>
    <row r="1108" s="2" customFormat="1" x14ac:dyDescent="0.2"/>
    <row r="1109" s="2" customFormat="1" x14ac:dyDescent="0.2"/>
    <row r="1110" s="2" customFormat="1" x14ac:dyDescent="0.2"/>
    <row r="1111" s="2" customFormat="1" x14ac:dyDescent="0.2"/>
    <row r="1112" s="2" customFormat="1" x14ac:dyDescent="0.2"/>
    <row r="1113" s="2" customFormat="1" x14ac:dyDescent="0.2"/>
    <row r="1114" s="2" customFormat="1" x14ac:dyDescent="0.2"/>
    <row r="1115" s="2" customFormat="1" x14ac:dyDescent="0.2"/>
    <row r="1116" s="2" customFormat="1" x14ac:dyDescent="0.2"/>
    <row r="1117" s="2" customFormat="1" x14ac:dyDescent="0.2"/>
    <row r="1118" s="2" customFormat="1" x14ac:dyDescent="0.2"/>
    <row r="1119" s="2" customFormat="1" x14ac:dyDescent="0.2"/>
    <row r="1120" s="2" customFormat="1" x14ac:dyDescent="0.2"/>
    <row r="1121" s="2" customFormat="1" x14ac:dyDescent="0.2"/>
    <row r="1122" s="2" customFormat="1" x14ac:dyDescent="0.2"/>
    <row r="1123" s="2" customFormat="1" x14ac:dyDescent="0.2"/>
    <row r="1124" s="2" customFormat="1" x14ac:dyDescent="0.2"/>
    <row r="1125" s="2" customFormat="1" x14ac:dyDescent="0.2"/>
    <row r="1126" s="2" customFormat="1" x14ac:dyDescent="0.2"/>
    <row r="1127" s="2" customFormat="1" x14ac:dyDescent="0.2"/>
    <row r="1128" s="2" customFormat="1" x14ac:dyDescent="0.2"/>
    <row r="1129" s="2" customFormat="1" x14ac:dyDescent="0.2"/>
    <row r="1130" s="2" customFormat="1" x14ac:dyDescent="0.2"/>
    <row r="1131" s="2" customFormat="1" x14ac:dyDescent="0.2"/>
    <row r="1132" s="2" customFormat="1" x14ac:dyDescent="0.2"/>
    <row r="1133" s="2" customFormat="1" x14ac:dyDescent="0.2"/>
    <row r="1134" s="2" customFormat="1" x14ac:dyDescent="0.2"/>
    <row r="1135" s="2" customFormat="1" x14ac:dyDescent="0.2"/>
    <row r="1136" s="2" customFormat="1" x14ac:dyDescent="0.2"/>
    <row r="1137" s="2" customFormat="1" x14ac:dyDescent="0.2"/>
    <row r="1138" s="2" customFormat="1" x14ac:dyDescent="0.2"/>
    <row r="1139" s="2" customFormat="1" x14ac:dyDescent="0.2"/>
    <row r="1140" s="2" customFormat="1" x14ac:dyDescent="0.2"/>
    <row r="1141" s="2" customFormat="1" x14ac:dyDescent="0.2"/>
    <row r="1142" s="2" customFormat="1" x14ac:dyDescent="0.2"/>
    <row r="1143" s="2" customFormat="1" x14ac:dyDescent="0.2"/>
    <row r="1144" s="2" customFormat="1" x14ac:dyDescent="0.2"/>
    <row r="1145" s="2" customFormat="1" x14ac:dyDescent="0.2"/>
    <row r="1146" s="2" customFormat="1" x14ac:dyDescent="0.2"/>
    <row r="1147" s="2" customFormat="1" x14ac:dyDescent="0.2"/>
    <row r="1148" s="2" customFormat="1" x14ac:dyDescent="0.2"/>
    <row r="1149" s="2" customFormat="1" x14ac:dyDescent="0.2"/>
    <row r="1150" s="2" customFormat="1" x14ac:dyDescent="0.2"/>
    <row r="1151" s="2" customFormat="1" x14ac:dyDescent="0.2"/>
    <row r="1152" s="2" customFormat="1" x14ac:dyDescent="0.2"/>
    <row r="1153" s="2" customFormat="1" x14ac:dyDescent="0.2"/>
    <row r="1154" s="2" customFormat="1" x14ac:dyDescent="0.2"/>
    <row r="1155" s="2" customFormat="1" x14ac:dyDescent="0.2"/>
    <row r="1156" s="2" customFormat="1" x14ac:dyDescent="0.2"/>
    <row r="1157" s="2" customFormat="1" x14ac:dyDescent="0.2"/>
    <row r="1158" s="2" customFormat="1" x14ac:dyDescent="0.2"/>
    <row r="1159" s="2" customFormat="1" x14ac:dyDescent="0.2"/>
    <row r="1160" s="2" customFormat="1" x14ac:dyDescent="0.2"/>
    <row r="1161" s="2" customFormat="1" x14ac:dyDescent="0.2"/>
    <row r="1162" s="2" customFormat="1" x14ac:dyDescent="0.2"/>
    <row r="1163" s="2" customFormat="1" x14ac:dyDescent="0.2"/>
    <row r="1164" s="2" customFormat="1" x14ac:dyDescent="0.2"/>
    <row r="1165" s="2" customFormat="1" x14ac:dyDescent="0.2"/>
    <row r="1166" s="2" customFormat="1" x14ac:dyDescent="0.2"/>
    <row r="1167" s="2" customFormat="1" x14ac:dyDescent="0.2"/>
    <row r="1168" s="2" customFormat="1" x14ac:dyDescent="0.2"/>
    <row r="1169" s="2" customFormat="1" x14ac:dyDescent="0.2"/>
    <row r="1170" s="2" customFormat="1" x14ac:dyDescent="0.2"/>
    <row r="1171" s="2" customFormat="1" x14ac:dyDescent="0.2"/>
    <row r="1172" s="2" customFormat="1" x14ac:dyDescent="0.2"/>
    <row r="1173" s="2" customFormat="1" x14ac:dyDescent="0.2"/>
    <row r="1174" s="2" customFormat="1" x14ac:dyDescent="0.2"/>
    <row r="1175" s="2" customFormat="1" x14ac:dyDescent="0.2"/>
    <row r="1176" s="2" customFormat="1" x14ac:dyDescent="0.2"/>
    <row r="1177" s="2" customFormat="1" x14ac:dyDescent="0.2"/>
    <row r="1178" s="2" customFormat="1" x14ac:dyDescent="0.2"/>
    <row r="1179" s="2" customFormat="1" x14ac:dyDescent="0.2"/>
    <row r="1180" s="2" customFormat="1" x14ac:dyDescent="0.2"/>
    <row r="1181" s="2" customFormat="1" x14ac:dyDescent="0.2"/>
    <row r="1182" s="2" customFormat="1" x14ac:dyDescent="0.2"/>
    <row r="1183" s="2" customFormat="1" x14ac:dyDescent="0.2"/>
    <row r="1184" s="2" customFormat="1" x14ac:dyDescent="0.2"/>
    <row r="1185" s="2" customFormat="1" x14ac:dyDescent="0.2"/>
    <row r="1186" s="2" customFormat="1" x14ac:dyDescent="0.2"/>
    <row r="1187" s="2" customFormat="1" x14ac:dyDescent="0.2"/>
    <row r="1188" s="2" customFormat="1" x14ac:dyDescent="0.2"/>
    <row r="1189" s="2" customFormat="1" x14ac:dyDescent="0.2"/>
    <row r="1190" s="2" customFormat="1" x14ac:dyDescent="0.2"/>
    <row r="1191" s="2" customFormat="1" x14ac:dyDescent="0.2"/>
    <row r="1192" s="2" customFormat="1" x14ac:dyDescent="0.2"/>
    <row r="1193" s="2" customFormat="1" x14ac:dyDescent="0.2"/>
    <row r="1194" s="2" customFormat="1" x14ac:dyDescent="0.2"/>
    <row r="1195" s="2" customFormat="1" x14ac:dyDescent="0.2"/>
    <row r="1196" s="2" customFormat="1" x14ac:dyDescent="0.2"/>
    <row r="1197" s="2" customFormat="1" x14ac:dyDescent="0.2"/>
    <row r="1198" s="2" customFormat="1" x14ac:dyDescent="0.2"/>
    <row r="1199" s="2" customFormat="1" x14ac:dyDescent="0.2"/>
    <row r="1200" s="2" customFormat="1" x14ac:dyDescent="0.2"/>
    <row r="1201" s="2" customFormat="1" x14ac:dyDescent="0.2"/>
    <row r="1202" s="2" customFormat="1" x14ac:dyDescent="0.2"/>
    <row r="1203" s="2" customFormat="1" x14ac:dyDescent="0.2"/>
    <row r="1204" s="2" customFormat="1" x14ac:dyDescent="0.2"/>
    <row r="1205" s="2" customFormat="1" x14ac:dyDescent="0.2"/>
    <row r="1206" s="2" customFormat="1" x14ac:dyDescent="0.2"/>
    <row r="1207" s="2" customFormat="1" x14ac:dyDescent="0.2"/>
    <row r="1208" s="2" customFormat="1" x14ac:dyDescent="0.2"/>
    <row r="1209" s="2" customFormat="1" x14ac:dyDescent="0.2"/>
    <row r="1210" s="2" customFormat="1" x14ac:dyDescent="0.2"/>
    <row r="1211" s="2" customFormat="1" x14ac:dyDescent="0.2"/>
    <row r="1212" s="2" customFormat="1" x14ac:dyDescent="0.2"/>
    <row r="1213" s="2" customFormat="1" x14ac:dyDescent="0.2"/>
    <row r="1214" s="2" customFormat="1" x14ac:dyDescent="0.2"/>
    <row r="1215" s="2" customFormat="1" x14ac:dyDescent="0.2"/>
    <row r="1216" s="2" customFormat="1" x14ac:dyDescent="0.2"/>
    <row r="1217" s="2" customFormat="1" x14ac:dyDescent="0.2"/>
    <row r="1218" s="2" customFormat="1" x14ac:dyDescent="0.2"/>
    <row r="1219" s="2" customFormat="1" x14ac:dyDescent="0.2"/>
    <row r="1220" s="2" customFormat="1" x14ac:dyDescent="0.2"/>
    <row r="1221" s="2" customFormat="1" x14ac:dyDescent="0.2"/>
    <row r="1222" s="2" customFormat="1" x14ac:dyDescent="0.2"/>
    <row r="1223" s="2" customFormat="1" x14ac:dyDescent="0.2"/>
    <row r="1224" s="2" customFormat="1" x14ac:dyDescent="0.2"/>
    <row r="1225" s="2" customFormat="1" x14ac:dyDescent="0.2"/>
    <row r="1226" s="2" customFormat="1" x14ac:dyDescent="0.2"/>
    <row r="1227" s="2" customFormat="1" x14ac:dyDescent="0.2"/>
    <row r="1228" s="2" customFormat="1" x14ac:dyDescent="0.2"/>
    <row r="1229" s="2" customFormat="1" x14ac:dyDescent="0.2"/>
    <row r="1230" s="2" customFormat="1" x14ac:dyDescent="0.2"/>
    <row r="1231" s="2" customFormat="1" x14ac:dyDescent="0.2"/>
    <row r="1232" s="2" customFormat="1" x14ac:dyDescent="0.2"/>
    <row r="1233" s="2" customFormat="1" x14ac:dyDescent="0.2"/>
    <row r="1234" s="2" customFormat="1" x14ac:dyDescent="0.2"/>
    <row r="1235" s="2" customFormat="1" x14ac:dyDescent="0.2"/>
    <row r="1236" s="2" customFormat="1" x14ac:dyDescent="0.2"/>
    <row r="1237" s="2" customFormat="1" x14ac:dyDescent="0.2"/>
    <row r="1238" s="2" customFormat="1" x14ac:dyDescent="0.2"/>
    <row r="1239" s="2" customFormat="1" x14ac:dyDescent="0.2"/>
    <row r="1240" s="2" customFormat="1" x14ac:dyDescent="0.2"/>
    <row r="1241" s="2" customFormat="1" x14ac:dyDescent="0.2"/>
    <row r="1242" s="2" customFormat="1" x14ac:dyDescent="0.2"/>
    <row r="1243" s="2" customFormat="1" x14ac:dyDescent="0.2"/>
    <row r="1244" s="2" customFormat="1" x14ac:dyDescent="0.2"/>
    <row r="1245" s="2" customFormat="1" x14ac:dyDescent="0.2"/>
    <row r="1246" s="2" customFormat="1" x14ac:dyDescent="0.2"/>
    <row r="1247" s="2" customFormat="1" x14ac:dyDescent="0.2"/>
    <row r="1248" s="2" customFormat="1" x14ac:dyDescent="0.2"/>
    <row r="1249" s="2" customFormat="1" x14ac:dyDescent="0.2"/>
    <row r="1250" s="2" customFormat="1" x14ac:dyDescent="0.2"/>
    <row r="1251" s="2" customFormat="1" x14ac:dyDescent="0.2"/>
    <row r="1252" s="2" customFormat="1" x14ac:dyDescent="0.2"/>
    <row r="1253" s="2" customFormat="1" x14ac:dyDescent="0.2"/>
    <row r="1254" s="2" customFormat="1" x14ac:dyDescent="0.2"/>
    <row r="1255" s="2" customFormat="1" x14ac:dyDescent="0.2"/>
    <row r="1256" s="2" customFormat="1" x14ac:dyDescent="0.2"/>
    <row r="1257" s="2" customFormat="1" x14ac:dyDescent="0.2"/>
    <row r="1258" s="2" customFormat="1" x14ac:dyDescent="0.2"/>
    <row r="1259" s="2" customFormat="1" x14ac:dyDescent="0.2"/>
    <row r="1260" s="2" customFormat="1" x14ac:dyDescent="0.2"/>
    <row r="1261" s="2" customFormat="1" x14ac:dyDescent="0.2"/>
    <row r="1262" s="2" customFormat="1" x14ac:dyDescent="0.2"/>
    <row r="1263" s="2" customFormat="1" x14ac:dyDescent="0.2"/>
    <row r="1264" s="2" customFormat="1" x14ac:dyDescent="0.2"/>
    <row r="1265" s="2" customFormat="1" x14ac:dyDescent="0.2"/>
    <row r="1266" s="2" customFormat="1" x14ac:dyDescent="0.2"/>
    <row r="1267" s="2" customFormat="1" x14ac:dyDescent="0.2"/>
    <row r="1268" s="2" customFormat="1" x14ac:dyDescent="0.2"/>
    <row r="1269" s="2" customFormat="1" x14ac:dyDescent="0.2"/>
    <row r="1270" s="2" customFormat="1" x14ac:dyDescent="0.2"/>
    <row r="1271" s="2" customFormat="1" x14ac:dyDescent="0.2"/>
    <row r="1272" s="2" customFormat="1" x14ac:dyDescent="0.2"/>
    <row r="1273" s="2" customFormat="1" x14ac:dyDescent="0.2"/>
    <row r="1274" s="2" customFormat="1" x14ac:dyDescent="0.2"/>
    <row r="1275" s="2" customFormat="1" x14ac:dyDescent="0.2"/>
    <row r="1276" s="2" customFormat="1" x14ac:dyDescent="0.2"/>
    <row r="1277" s="2" customFormat="1" x14ac:dyDescent="0.2"/>
    <row r="1278" s="2" customFormat="1" x14ac:dyDescent="0.2"/>
    <row r="1279" s="2" customFormat="1" x14ac:dyDescent="0.2"/>
    <row r="1280" s="2" customFormat="1" x14ac:dyDescent="0.2"/>
    <row r="1281" spans="1:8" x14ac:dyDescent="0.2">
      <c r="A1281" s="2"/>
      <c r="B1281" s="2"/>
      <c r="C1281" s="2"/>
      <c r="D1281" s="2"/>
      <c r="E1281" s="2"/>
      <c r="F1281" s="2"/>
      <c r="G1281" s="2"/>
      <c r="H1281" s="2"/>
    </row>
    <row r="1282" spans="1:8" x14ac:dyDescent="0.2">
      <c r="A1282" s="2"/>
      <c r="B1282" s="2"/>
      <c r="C1282" s="2"/>
      <c r="D1282" s="2"/>
      <c r="E1282" s="2"/>
      <c r="F1282" s="2"/>
      <c r="G1282" s="2"/>
      <c r="H1282" s="2"/>
    </row>
    <row r="1283" spans="1:8" x14ac:dyDescent="0.2">
      <c r="A1283" s="2"/>
      <c r="B1283" s="2"/>
      <c r="C1283" s="2"/>
      <c r="D1283" s="2"/>
      <c r="E1283" s="2"/>
      <c r="F1283" s="2"/>
      <c r="G1283" s="2"/>
      <c r="H1283" s="2"/>
    </row>
    <row r="1284" spans="1:8" x14ac:dyDescent="0.2">
      <c r="A1284" s="2"/>
      <c r="B1284" s="2"/>
      <c r="C1284" s="2"/>
      <c r="D1284" s="2"/>
      <c r="E1284" s="2"/>
      <c r="F1284" s="2"/>
      <c r="G1284" s="2"/>
      <c r="H1284" s="2"/>
    </row>
    <row r="1285" spans="1:8" x14ac:dyDescent="0.2">
      <c r="A1285" s="2"/>
      <c r="B1285" s="2"/>
      <c r="C1285" s="2"/>
      <c r="D1285" s="2"/>
      <c r="E1285" s="2"/>
      <c r="F1285" s="2"/>
      <c r="G1285" s="2"/>
      <c r="H1285" s="2"/>
    </row>
    <row r="1286" spans="1:8" x14ac:dyDescent="0.2">
      <c r="A1286" s="2"/>
      <c r="B1286" s="2"/>
      <c r="C1286" s="2"/>
      <c r="D1286" s="2"/>
      <c r="E1286" s="2"/>
      <c r="F1286" s="2"/>
      <c r="G1286" s="2"/>
      <c r="H1286" s="2"/>
    </row>
    <row r="1287" spans="1:8" x14ac:dyDescent="0.2">
      <c r="A1287" s="2"/>
      <c r="B1287" s="2"/>
      <c r="C1287" s="2"/>
      <c r="D1287" s="2"/>
      <c r="E1287" s="2"/>
      <c r="F1287" s="2"/>
      <c r="G1287" s="2"/>
      <c r="H1287" s="2"/>
    </row>
    <row r="1288" spans="1:8" x14ac:dyDescent="0.2">
      <c r="A1288" s="2"/>
      <c r="B1288" s="2"/>
      <c r="C1288" s="2"/>
      <c r="D1288" s="2"/>
      <c r="E1288" s="2"/>
      <c r="F1288" s="2"/>
      <c r="G1288" s="2"/>
      <c r="H1288" s="2"/>
    </row>
    <row r="1289" spans="1:8" x14ac:dyDescent="0.2">
      <c r="A1289" s="2"/>
      <c r="B1289" s="2"/>
      <c r="C1289" s="2"/>
      <c r="D1289" s="2"/>
      <c r="E1289" s="2"/>
      <c r="F1289" s="2"/>
      <c r="G1289" s="2"/>
      <c r="H1289" s="2"/>
    </row>
    <row r="1290" spans="1:8" x14ac:dyDescent="0.2"/>
    <row r="1291" spans="1:8" x14ac:dyDescent="0.2"/>
    <row r="1292" spans="1:8" x14ac:dyDescent="0.2"/>
    <row r="1293" spans="1:8" x14ac:dyDescent="0.2"/>
    <row r="1294" spans="1:8" x14ac:dyDescent="0.2"/>
    <row r="1295" spans="1:8" x14ac:dyDescent="0.2"/>
    <row r="1296" spans="1:8"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row r="1384" x14ac:dyDescent="0.2"/>
    <row r="1385" x14ac:dyDescent="0.2"/>
    <row r="1386" x14ac:dyDescent="0.2"/>
    <row r="1387" x14ac:dyDescent="0.2"/>
    <row r="1388" x14ac:dyDescent="0.2"/>
    <row r="1389" x14ac:dyDescent="0.2"/>
    <row r="1390" x14ac:dyDescent="0.2"/>
    <row r="1391" x14ac:dyDescent="0.2"/>
    <row r="1392" x14ac:dyDescent="0.2"/>
    <row r="1393" x14ac:dyDescent="0.2"/>
    <row r="1394" x14ac:dyDescent="0.2"/>
    <row r="1395" x14ac:dyDescent="0.2"/>
    <row r="1396" x14ac:dyDescent="0.2"/>
    <row r="1397" x14ac:dyDescent="0.2"/>
    <row r="1398" x14ac:dyDescent="0.2"/>
    <row r="1399" x14ac:dyDescent="0.2"/>
    <row r="1400" x14ac:dyDescent="0.2"/>
    <row r="1401" x14ac:dyDescent="0.2"/>
    <row r="1402" x14ac:dyDescent="0.2"/>
    <row r="1403" x14ac:dyDescent="0.2"/>
    <row r="1404" x14ac:dyDescent="0.2"/>
    <row r="1405" x14ac:dyDescent="0.2"/>
    <row r="1406" x14ac:dyDescent="0.2"/>
    <row r="1407" x14ac:dyDescent="0.2"/>
    <row r="1408" x14ac:dyDescent="0.2"/>
    <row r="1409" x14ac:dyDescent="0.2"/>
    <row r="1410" x14ac:dyDescent="0.2"/>
    <row r="1411" x14ac:dyDescent="0.2"/>
    <row r="1412" x14ac:dyDescent="0.2"/>
    <row r="1413" x14ac:dyDescent="0.2"/>
    <row r="1414" x14ac:dyDescent="0.2"/>
    <row r="1415" x14ac:dyDescent="0.2"/>
    <row r="1416" x14ac:dyDescent="0.2"/>
    <row r="1417" x14ac:dyDescent="0.2"/>
    <row r="1418" x14ac:dyDescent="0.2"/>
    <row r="1419" x14ac:dyDescent="0.2"/>
    <row r="1420" x14ac:dyDescent="0.2"/>
    <row r="1421" x14ac:dyDescent="0.2"/>
    <row r="1422" x14ac:dyDescent="0.2"/>
    <row r="1423" x14ac:dyDescent="0.2"/>
    <row r="1424" x14ac:dyDescent="0.2"/>
    <row r="1425" x14ac:dyDescent="0.2"/>
    <row r="1426" x14ac:dyDescent="0.2"/>
    <row r="1427" x14ac:dyDescent="0.2"/>
    <row r="1428" x14ac:dyDescent="0.2"/>
    <row r="1429" x14ac:dyDescent="0.2"/>
    <row r="1430" x14ac:dyDescent="0.2"/>
    <row r="1431" x14ac:dyDescent="0.2"/>
    <row r="1432" x14ac:dyDescent="0.2"/>
    <row r="1433" x14ac:dyDescent="0.2"/>
    <row r="1434" x14ac:dyDescent="0.2"/>
    <row r="1435" x14ac:dyDescent="0.2"/>
    <row r="1436" x14ac:dyDescent="0.2"/>
    <row r="1437" x14ac:dyDescent="0.2"/>
    <row r="1438" x14ac:dyDescent="0.2"/>
    <row r="1439" x14ac:dyDescent="0.2"/>
    <row r="1440" x14ac:dyDescent="0.2"/>
    <row r="1441" x14ac:dyDescent="0.2"/>
    <row r="1442" x14ac:dyDescent="0.2"/>
    <row r="1443" x14ac:dyDescent="0.2"/>
    <row r="1444" x14ac:dyDescent="0.2"/>
    <row r="1445" x14ac:dyDescent="0.2"/>
    <row r="1446" x14ac:dyDescent="0.2"/>
    <row r="1447" x14ac:dyDescent="0.2"/>
    <row r="1448" x14ac:dyDescent="0.2"/>
  </sheetData>
  <mergeCells count="7">
    <mergeCell ref="AN1:AR1"/>
    <mergeCell ref="AG1:AL1"/>
    <mergeCell ref="A1:A6"/>
    <mergeCell ref="I1:N1"/>
    <mergeCell ref="O1:T1"/>
    <mergeCell ref="U1:Z1"/>
    <mergeCell ref="AA1:AF1"/>
  </mergeCells>
  <conditionalFormatting sqref="I3:AL6">
    <cfRule type="containsText" dxfId="5" priority="696" operator="containsText" text="Incompleto">
      <formula>NOT(ISERROR(SEARCH("Incompleto",I3)))</formula>
    </cfRule>
  </conditionalFormatting>
  <conditionalFormatting sqref="I3:AL6">
    <cfRule type="containsText" dxfId="4" priority="691" operator="containsText" text="Muy Alto">
      <formula>NOT(ISERROR(SEARCH("Muy Alto",I3)))</formula>
    </cfRule>
    <cfRule type="containsText" dxfId="3" priority="692" operator="containsText" text="Alto">
      <formula>NOT(ISERROR(SEARCH("Alto",I3)))</formula>
    </cfRule>
    <cfRule type="containsText" dxfId="2" priority="693" operator="containsText" text="Medio">
      <formula>NOT(ISERROR(SEARCH("Medio",I3)))</formula>
    </cfRule>
    <cfRule type="containsText" dxfId="1" priority="694" operator="containsText" text="Leve">
      <formula>NOT(ISERROR(SEARCH("Leve",I3)))</formula>
    </cfRule>
    <cfRule type="containsText" dxfId="0" priority="695" operator="containsText" text="No significativo">
      <formula>NOT(ISERROR(SEARCH("No significativo",I3)))</formula>
    </cfRule>
  </conditionalFormatting>
  <printOptions horizontalCentered="1" verticalCentered="1"/>
  <pageMargins left="0" right="0" top="0.19685039370078741" bottom="0.19685039370078741" header="0.19685039370078741" footer="0.19685039370078741"/>
  <pageSetup paperSize="9" scale="75" orientation="landscape" r:id="rId1"/>
  <headerFooter alignWithMargins="0">
    <oddHeader>&amp;A</oddHeader>
    <oddFoote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2:F19"/>
  <sheetViews>
    <sheetView workbookViewId="0">
      <selection activeCell="B2" sqref="B2"/>
    </sheetView>
  </sheetViews>
  <sheetFormatPr baseColWidth="10" defaultRowHeight="12.75" x14ac:dyDescent="0.2"/>
  <sheetData>
    <row r="2" spans="1:6" x14ac:dyDescent="0.2">
      <c r="B2" t="s">
        <v>55</v>
      </c>
      <c r="C2" t="s">
        <v>56</v>
      </c>
      <c r="D2" t="s">
        <v>2</v>
      </c>
      <c r="E2" t="s">
        <v>66</v>
      </c>
      <c r="F2" t="s">
        <v>1</v>
      </c>
    </row>
    <row r="3" spans="1:6" x14ac:dyDescent="0.2">
      <c r="B3" t="s">
        <v>56</v>
      </c>
      <c r="C3" t="s">
        <v>2</v>
      </c>
      <c r="D3" t="s">
        <v>66</v>
      </c>
      <c r="E3" t="s">
        <v>1</v>
      </c>
    </row>
    <row r="4" spans="1:6" x14ac:dyDescent="0.2">
      <c r="B4" t="s">
        <v>2</v>
      </c>
      <c r="C4" t="s">
        <v>66</v>
      </c>
      <c r="D4" t="s">
        <v>1</v>
      </c>
    </row>
    <row r="5" spans="1:6" x14ac:dyDescent="0.2">
      <c r="B5" t="s">
        <v>66</v>
      </c>
      <c r="C5" t="s">
        <v>1</v>
      </c>
    </row>
    <row r="6" spans="1:6" x14ac:dyDescent="0.2">
      <c r="B6" t="s">
        <v>1</v>
      </c>
    </row>
    <row r="10" spans="1:6" x14ac:dyDescent="0.2">
      <c r="A10" t="s">
        <v>78</v>
      </c>
      <c r="B10" s="64" t="s">
        <v>99</v>
      </c>
    </row>
    <row r="11" spans="1:6" x14ac:dyDescent="0.2">
      <c r="B11" s="64" t="s">
        <v>92</v>
      </c>
    </row>
    <row r="12" spans="1:6" x14ac:dyDescent="0.2">
      <c r="B12" s="64" t="s">
        <v>80</v>
      </c>
    </row>
    <row r="13" spans="1:6" x14ac:dyDescent="0.2">
      <c r="B13" s="64" t="s">
        <v>93</v>
      </c>
    </row>
    <row r="14" spans="1:6" x14ac:dyDescent="0.2">
      <c r="B14" s="64" t="s">
        <v>94</v>
      </c>
    </row>
    <row r="15" spans="1:6" x14ac:dyDescent="0.2">
      <c r="B15" s="64" t="s">
        <v>95</v>
      </c>
    </row>
    <row r="16" spans="1:6" x14ac:dyDescent="0.2">
      <c r="B16" s="64" t="s">
        <v>96</v>
      </c>
    </row>
    <row r="17" spans="2:2" x14ac:dyDescent="0.2">
      <c r="B17" s="64" t="s">
        <v>81</v>
      </c>
    </row>
    <row r="18" spans="2:2" x14ac:dyDescent="0.2">
      <c r="B18" s="64" t="s">
        <v>97</v>
      </c>
    </row>
    <row r="19" spans="2:2" x14ac:dyDescent="0.2">
      <c r="B19" s="64" t="s">
        <v>98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88454803142254FA68B3CA2D7D46012" ma:contentTypeVersion="10" ma:contentTypeDescription="Crear nuevo documento." ma:contentTypeScope="" ma:versionID="597d1da3e6a4654aafbbdaa1e4c2894f">
  <xsd:schema xmlns:xsd="http://www.w3.org/2001/XMLSchema" xmlns:xs="http://www.w3.org/2001/XMLSchema" xmlns:p="http://schemas.microsoft.com/office/2006/metadata/properties" xmlns:ns2="3571769d-ef12-4882-9ba3-7aea1293712d" targetNamespace="http://schemas.microsoft.com/office/2006/metadata/properties" ma:root="true" ma:fieldsID="e3da6b8a0f4c6a9d5fef52d7cf5cc859" ns2:_="">
    <xsd:import namespace="3571769d-ef12-4882-9ba3-7aea1293712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71769d-ef12-4882-9ba3-7aea129371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BD8661-2A77-418D-B520-3946A586341E}">
  <ds:schemaRef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92C456F6-E4D2-43D2-8B3B-0D38AA7E9CA8}">
  <ds:schemaRefs>
    <ds:schemaRef ds:uri="http://schemas.microsoft.com/sharepoint/v3/contenttype/forms"/>
  </ds:schemaRefs>
</ds:datastoreItem>
</file>

<file path=customXml/itemProps3.xml><?xml version="1.0" encoding="utf-8"?>
<ds:datastoreItem xmlns:ds="http://schemas.openxmlformats.org/officeDocument/2006/customXml" ds:itemID="{0CEF4739-FDD0-434F-BDA6-CABF705F5F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71769d-ef12-4882-9ba3-7aea129371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V°B°</vt:lpstr>
      <vt:lpstr>Datos entrevistado</vt:lpstr>
      <vt:lpstr>Análisis Impacto</vt:lpstr>
      <vt:lpstr>Escala por tipo de impacto</vt:lpstr>
      <vt:lpstr>Análisis Impacto (Calculos)</vt:lpstr>
      <vt:lpstr>Listas Desplegables</vt:lpstr>
    </vt:vector>
  </TitlesOfParts>
  <Company>BANCO ABN AMRO REAL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F306061</dc:creator>
  <cp:lastModifiedBy>Romero Ortiz Carmen Paz</cp:lastModifiedBy>
  <cp:lastPrinted>2018-11-19T18:28:49Z</cp:lastPrinted>
  <dcterms:created xsi:type="dcterms:W3CDTF">2005-12-02T20:38:54Z</dcterms:created>
  <dcterms:modified xsi:type="dcterms:W3CDTF">2021-10-25T17:47:20Z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0x010100888454803142254FA68B3CA2D7D46012</vt:lpwstr>
  </property>
  <property fmtid="{D5CDD505-2E9C-101B-9397-08002B2CF9AE}" pid="4" name="_AdHocReviewCycleID">
    <vt:i4>-976195264</vt:i4>
  </property>
  <property fmtid="{D5CDD505-2E9C-101B-9397-08002B2CF9AE}" pid="5" name="_EmailSubject">
    <vt:lpwstr>Solicitud de Prueba a los proveedores</vt:lpwstr>
  </property>
  <property fmtid="{D5CDD505-2E9C-101B-9397-08002B2CF9AE}" pid="6" name="_AuthorEmail">
    <vt:lpwstr>cangulo2@bancoestado.cl</vt:lpwstr>
  </property>
  <property fmtid="{D5CDD505-2E9C-101B-9397-08002B2CF9AE}" pid="7" name="_AuthorEmailDisplayName">
    <vt:lpwstr>Angulo Femenias Carmen Gloria</vt:lpwstr>
  </property>
  <property fmtid="{D5CDD505-2E9C-101B-9397-08002B2CF9AE}" pid="8" name="_PreviousAdHocReviewCycleID">
    <vt:i4>574169507</vt:i4>
  </property>
</Properties>
</file>